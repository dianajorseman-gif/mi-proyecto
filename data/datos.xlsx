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350ca35cbc75c8/Pictures/Screenshots/proyecto_actividades/data/"/>
    </mc:Choice>
  </mc:AlternateContent>
  <xr:revisionPtr revIDLastSave="6" documentId="8_{04625629-B5B7-45BB-BF53-1546FA5F56B3}" xr6:coauthVersionLast="47" xr6:coauthVersionMax="47" xr10:uidLastSave="{27F616FF-2070-4BEF-86A4-467A376B8140}"/>
  <bookViews>
    <workbookView xWindow="-108" yWindow="-108" windowWidth="23256" windowHeight="12456" xr2:uid="{1831882E-3B2A-4FA3-892E-0482C0A88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2" i="1" l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39" i="1"/>
  <c r="A226" i="1"/>
  <c r="A227" i="1"/>
  <c r="A228" i="1"/>
  <c r="A229" i="1"/>
  <c r="A230" i="1"/>
  <c r="A231" i="1"/>
  <c r="A233" i="1"/>
  <c r="A234" i="1"/>
  <c r="A235" i="1"/>
  <c r="A236" i="1"/>
  <c r="A237" i="1"/>
  <c r="A238" i="1"/>
  <c r="A225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12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199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86" i="1"/>
  <c r="A185" i="1"/>
  <c r="A174" i="1"/>
  <c r="A175" i="1"/>
  <c r="A176" i="1"/>
  <c r="A177" i="1"/>
  <c r="A178" i="1"/>
  <c r="A179" i="1"/>
  <c r="A180" i="1"/>
  <c r="A181" i="1"/>
  <c r="A182" i="1"/>
  <c r="A183" i="1"/>
  <c r="A184" i="1"/>
  <c r="A173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60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47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33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20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07" i="1"/>
  <c r="A95" i="1"/>
  <c r="A96" i="1"/>
  <c r="A97" i="1"/>
  <c r="A98" i="1"/>
  <c r="A99" i="1"/>
  <c r="A100" i="1"/>
  <c r="A101" i="1"/>
  <c r="A102" i="1"/>
  <c r="A103" i="1"/>
  <c r="A104" i="1"/>
  <c r="A105" i="1"/>
  <c r="A106" i="1"/>
  <c r="A94" i="1"/>
  <c r="A82" i="1"/>
  <c r="A83" i="1"/>
  <c r="A84" i="1"/>
  <c r="A85" i="1"/>
  <c r="A86" i="1"/>
  <c r="A87" i="1"/>
  <c r="A88" i="1"/>
  <c r="A89" i="1"/>
  <c r="A90" i="1"/>
  <c r="A91" i="1"/>
  <c r="A92" i="1"/>
  <c r="A93" i="1"/>
  <c r="A81" i="1"/>
  <c r="A69" i="1"/>
  <c r="A70" i="1"/>
  <c r="A71" i="1"/>
  <c r="A72" i="1"/>
  <c r="A73" i="1"/>
  <c r="A74" i="1"/>
  <c r="A75" i="1"/>
  <c r="A76" i="1"/>
  <c r="A77" i="1"/>
  <c r="A78" i="1"/>
  <c r="A79" i="1"/>
  <c r="A80" i="1"/>
  <c r="A68" i="1"/>
  <c r="A56" i="1"/>
  <c r="A57" i="1"/>
  <c r="A58" i="1"/>
  <c r="A59" i="1"/>
  <c r="A60" i="1"/>
  <c r="A61" i="1"/>
  <c r="A62" i="1"/>
  <c r="A63" i="1"/>
  <c r="A64" i="1"/>
  <c r="A65" i="1"/>
  <c r="A66" i="1"/>
  <c r="A67" i="1"/>
  <c r="A55" i="1"/>
  <c r="A53" i="1"/>
  <c r="A54" i="1"/>
  <c r="A42" i="1"/>
  <c r="A43" i="1"/>
  <c r="A44" i="1"/>
  <c r="A45" i="1"/>
  <c r="A46" i="1"/>
  <c r="A47" i="1"/>
  <c r="A48" i="1"/>
  <c r="A49" i="1"/>
  <c r="A50" i="1"/>
  <c r="A51" i="1"/>
  <c r="A52" i="1"/>
  <c r="A41" i="1"/>
  <c r="A40" i="1"/>
  <c r="A29" i="1"/>
  <c r="A30" i="1"/>
  <c r="A31" i="1"/>
  <c r="A32" i="1"/>
  <c r="A33" i="1"/>
  <c r="A34" i="1"/>
  <c r="A35" i="1"/>
  <c r="A36" i="1"/>
  <c r="A37" i="1"/>
  <c r="A38" i="1"/>
  <c r="A39" i="1"/>
  <c r="A28" i="1"/>
  <c r="A16" i="1"/>
  <c r="A17" i="1"/>
  <c r="A18" i="1"/>
  <c r="A19" i="1"/>
  <c r="A20" i="1"/>
  <c r="A21" i="1"/>
  <c r="A22" i="1"/>
  <c r="A23" i="1"/>
  <c r="A24" i="1"/>
  <c r="A25" i="1"/>
  <c r="A26" i="1"/>
  <c r="A27" i="1"/>
  <c r="A15" i="1"/>
</calcChain>
</file>

<file path=xl/sharedStrings.xml><?xml version="1.0" encoding="utf-8"?>
<sst xmlns="http://schemas.openxmlformats.org/spreadsheetml/2006/main" count="504" uniqueCount="27">
  <si>
    <t>FECHA</t>
  </si>
  <si>
    <t>HORA</t>
  </si>
  <si>
    <t>ACTIVIDAD</t>
  </si>
  <si>
    <t>TIPO</t>
  </si>
  <si>
    <t>sueño</t>
  </si>
  <si>
    <t>Desayunar</t>
  </si>
  <si>
    <t>Levantarse</t>
  </si>
  <si>
    <t>caminar a la U</t>
  </si>
  <si>
    <t>clases</t>
  </si>
  <si>
    <t>almuerzo</t>
  </si>
  <si>
    <t>clases concluidas</t>
  </si>
  <si>
    <t>llegar a casa</t>
  </si>
  <si>
    <t>cuidar a mi perrita</t>
  </si>
  <si>
    <t>limpieza de casa</t>
  </si>
  <si>
    <t>tomar tecito</t>
  </si>
  <si>
    <t>repasar mis estudios</t>
  </si>
  <si>
    <t>alistarme para dormir</t>
  </si>
  <si>
    <t>productivo</t>
  </si>
  <si>
    <t>no productivo</t>
  </si>
  <si>
    <t>cocinar</t>
  </si>
  <si>
    <t>ordenar la ropa</t>
  </si>
  <si>
    <t>ordenar cama</t>
  </si>
  <si>
    <t>ayudar a mamá</t>
  </si>
  <si>
    <t>dormir</t>
  </si>
  <si>
    <t>caminar a la iglesia</t>
  </si>
  <si>
    <t>iglesia</t>
  </si>
  <si>
    <t>visita a un amigo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</si>
</sst>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DA7D-A0F3-4D33-8D4B-E295695B54DA}">
  <dimension ref="A1:D251"/>
  <sheetViews>
    <sheetView tabSelected="1" workbookViewId="0">
      <selection activeCell="F5" sqref="F5"/>
    </sheetView>
  </sheetViews>
  <sheetFormatPr baseColWidth="10" defaultRowHeight="14.4" x14ac:dyDescent="0.3"/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46246</v>
      </c>
      <c r="B2" s="2">
        <v>0.25</v>
      </c>
      <c r="C2" s="3" t="s">
        <v>4</v>
      </c>
      <c r="D2" s="3" t="s">
        <v>17</v>
      </c>
    </row>
    <row r="3" spans="1:4" x14ac:dyDescent="0.3">
      <c r="A3" s="1">
        <v>46246</v>
      </c>
      <c r="B3" s="2">
        <v>0.27083333333333331</v>
      </c>
      <c r="C3" s="3" t="s">
        <v>6</v>
      </c>
      <c r="D3" s="3" t="s">
        <v>17</v>
      </c>
    </row>
    <row r="4" spans="1:4" x14ac:dyDescent="0.3">
      <c r="A4" s="1">
        <v>46246</v>
      </c>
      <c r="B4" s="2">
        <v>0.29166666666666669</v>
      </c>
      <c r="C4" s="3" t="s">
        <v>5</v>
      </c>
      <c r="D4" s="3" t="s">
        <v>17</v>
      </c>
    </row>
    <row r="5" spans="1:4" x14ac:dyDescent="0.3">
      <c r="A5" s="1">
        <v>46246</v>
      </c>
      <c r="B5" s="2">
        <v>0.30555555555555552</v>
      </c>
      <c r="C5" s="3" t="s">
        <v>7</v>
      </c>
      <c r="D5" s="3" t="s">
        <v>17</v>
      </c>
    </row>
    <row r="6" spans="1:4" x14ac:dyDescent="0.3">
      <c r="A6" s="1">
        <v>46246</v>
      </c>
      <c r="B6" s="2">
        <v>0.35416666666666669</v>
      </c>
      <c r="C6" s="3" t="s">
        <v>8</v>
      </c>
      <c r="D6" s="3" t="s">
        <v>17</v>
      </c>
    </row>
    <row r="7" spans="1:4" x14ac:dyDescent="0.3">
      <c r="A7" s="1">
        <v>46246</v>
      </c>
      <c r="B7" s="2">
        <v>0.48958333333333331</v>
      </c>
      <c r="C7" s="3" t="s">
        <v>10</v>
      </c>
      <c r="D7" s="3" t="s">
        <v>18</v>
      </c>
    </row>
    <row r="8" spans="1:4" x14ac:dyDescent="0.3">
      <c r="A8" s="1">
        <v>46246</v>
      </c>
      <c r="B8" s="2">
        <v>0.5625</v>
      </c>
      <c r="C8" s="3" t="s">
        <v>11</v>
      </c>
      <c r="D8" s="3" t="s">
        <v>18</v>
      </c>
    </row>
    <row r="9" spans="1:4" x14ac:dyDescent="0.3">
      <c r="A9" s="1">
        <v>46246</v>
      </c>
      <c r="B9" s="2">
        <v>0.58333333333333337</v>
      </c>
      <c r="C9" s="3" t="s">
        <v>9</v>
      </c>
      <c r="D9" s="3" t="s">
        <v>17</v>
      </c>
    </row>
    <row r="10" spans="1:4" x14ac:dyDescent="0.3">
      <c r="A10" s="1">
        <v>46246</v>
      </c>
      <c r="B10" s="2">
        <v>0.6875</v>
      </c>
      <c r="C10" s="3" t="s">
        <v>12</v>
      </c>
      <c r="D10" s="3" t="s">
        <v>17</v>
      </c>
    </row>
    <row r="11" spans="1:4" x14ac:dyDescent="0.3">
      <c r="A11" s="1">
        <v>46246</v>
      </c>
      <c r="B11" s="2">
        <v>0.75</v>
      </c>
      <c r="C11" s="3" t="s">
        <v>13</v>
      </c>
      <c r="D11" s="3" t="s">
        <v>17</v>
      </c>
    </row>
    <row r="12" spans="1:4" x14ac:dyDescent="0.3">
      <c r="A12" s="1">
        <v>46246</v>
      </c>
      <c r="B12" s="2">
        <v>0.79166666666666663</v>
      </c>
      <c r="C12" s="3" t="s">
        <v>14</v>
      </c>
      <c r="D12" s="3" t="s">
        <v>17</v>
      </c>
    </row>
    <row r="13" spans="1:4" x14ac:dyDescent="0.3">
      <c r="A13" s="1">
        <v>46246</v>
      </c>
      <c r="B13" s="2">
        <v>0.85416666666666663</v>
      </c>
      <c r="C13" s="3" t="s">
        <v>15</v>
      </c>
      <c r="D13" s="3" t="s">
        <v>17</v>
      </c>
    </row>
    <row r="14" spans="1:4" x14ac:dyDescent="0.3">
      <c r="A14" s="1">
        <v>46246</v>
      </c>
      <c r="B14" s="2">
        <v>0.91666666666666663</v>
      </c>
      <c r="C14" s="3" t="s">
        <v>16</v>
      </c>
      <c r="D14" s="3" t="s">
        <v>17</v>
      </c>
    </row>
    <row r="15" spans="1:4" x14ac:dyDescent="0.3">
      <c r="A15" s="1">
        <f>DATE(2026,8,13)+INT((ROW()-ROW(A15))/5)</f>
        <v>46247</v>
      </c>
      <c r="B15" s="2">
        <v>0.25</v>
      </c>
      <c r="C15" s="3" t="s">
        <v>4</v>
      </c>
      <c r="D15" s="3" t="s">
        <v>17</v>
      </c>
    </row>
    <row r="16" spans="1:4" x14ac:dyDescent="0.3">
      <c r="A16" s="1">
        <f t="shared" ref="A16:A28" si="0">DATE(2026,8,13)+INT((ROW()-ROW(A16))/5)</f>
        <v>46247</v>
      </c>
      <c r="B16" s="2">
        <v>0.27083333333333331</v>
      </c>
      <c r="C16" s="3" t="s">
        <v>6</v>
      </c>
      <c r="D16" s="3" t="s">
        <v>17</v>
      </c>
    </row>
    <row r="17" spans="1:4" x14ac:dyDescent="0.3">
      <c r="A17" s="1">
        <f t="shared" si="0"/>
        <v>46247</v>
      </c>
      <c r="B17" s="2">
        <v>0.29166666666666669</v>
      </c>
      <c r="C17" s="3" t="s">
        <v>5</v>
      </c>
      <c r="D17" s="3" t="s">
        <v>17</v>
      </c>
    </row>
    <row r="18" spans="1:4" x14ac:dyDescent="0.3">
      <c r="A18" s="1">
        <f t="shared" si="0"/>
        <v>46247</v>
      </c>
      <c r="B18" s="2">
        <v>0.30555555555555552</v>
      </c>
      <c r="C18" s="3" t="s">
        <v>7</v>
      </c>
      <c r="D18" s="3" t="s">
        <v>17</v>
      </c>
    </row>
    <row r="19" spans="1:4" x14ac:dyDescent="0.3">
      <c r="A19" s="1">
        <f t="shared" si="0"/>
        <v>46247</v>
      </c>
      <c r="B19" s="2">
        <v>0.35416666666666669</v>
      </c>
      <c r="C19" s="3" t="s">
        <v>8</v>
      </c>
      <c r="D19" s="3" t="s">
        <v>17</v>
      </c>
    </row>
    <row r="20" spans="1:4" x14ac:dyDescent="0.3">
      <c r="A20" s="1">
        <f t="shared" si="0"/>
        <v>46247</v>
      </c>
      <c r="B20" s="2">
        <v>0.48958333333333331</v>
      </c>
      <c r="C20" s="3" t="s">
        <v>10</v>
      </c>
      <c r="D20" s="3" t="s">
        <v>18</v>
      </c>
    </row>
    <row r="21" spans="1:4" x14ac:dyDescent="0.3">
      <c r="A21" s="1">
        <f t="shared" si="0"/>
        <v>46247</v>
      </c>
      <c r="B21" s="2">
        <v>0.5625</v>
      </c>
      <c r="C21" s="3" t="s">
        <v>11</v>
      </c>
      <c r="D21" s="3" t="s">
        <v>18</v>
      </c>
    </row>
    <row r="22" spans="1:4" x14ac:dyDescent="0.3">
      <c r="A22" s="1">
        <f t="shared" si="0"/>
        <v>46247</v>
      </c>
      <c r="B22" s="2">
        <v>0.58333333333333337</v>
      </c>
      <c r="C22" s="3" t="s">
        <v>9</v>
      </c>
      <c r="D22" s="3" t="s">
        <v>17</v>
      </c>
    </row>
    <row r="23" spans="1:4" x14ac:dyDescent="0.3">
      <c r="A23" s="1">
        <f t="shared" si="0"/>
        <v>46247</v>
      </c>
      <c r="B23" s="2">
        <v>0.6875</v>
      </c>
      <c r="C23" s="3" t="s">
        <v>12</v>
      </c>
      <c r="D23" s="3" t="s">
        <v>17</v>
      </c>
    </row>
    <row r="24" spans="1:4" x14ac:dyDescent="0.3">
      <c r="A24" s="1">
        <f t="shared" si="0"/>
        <v>46247</v>
      </c>
      <c r="B24" s="2">
        <v>0.75</v>
      </c>
      <c r="C24" s="3" t="s">
        <v>13</v>
      </c>
      <c r="D24" s="3" t="s">
        <v>17</v>
      </c>
    </row>
    <row r="25" spans="1:4" x14ac:dyDescent="0.3">
      <c r="A25" s="1">
        <f t="shared" si="0"/>
        <v>46247</v>
      </c>
      <c r="B25" s="2">
        <v>0.79166666666666663</v>
      </c>
      <c r="C25" s="3" t="s">
        <v>14</v>
      </c>
      <c r="D25" s="3" t="s">
        <v>17</v>
      </c>
    </row>
    <row r="26" spans="1:4" x14ac:dyDescent="0.3">
      <c r="A26" s="1">
        <f t="shared" si="0"/>
        <v>46247</v>
      </c>
      <c r="B26" s="2">
        <v>0.85416666666666663</v>
      </c>
      <c r="C26" s="3" t="s">
        <v>15</v>
      </c>
      <c r="D26" s="3" t="s">
        <v>17</v>
      </c>
    </row>
    <row r="27" spans="1:4" x14ac:dyDescent="0.3">
      <c r="A27" s="1">
        <f t="shared" si="0"/>
        <v>46247</v>
      </c>
      <c r="B27" s="2">
        <v>0.91666666666666663</v>
      </c>
      <c r="C27" s="3" t="s">
        <v>16</v>
      </c>
      <c r="D27" s="3" t="s">
        <v>17</v>
      </c>
    </row>
    <row r="28" spans="1:4" x14ac:dyDescent="0.3">
      <c r="A28" s="1">
        <f>DATE(2026,8,14)+INT((ROW()-ROW(A28))/5)</f>
        <v>46248</v>
      </c>
      <c r="B28" s="2">
        <v>0.25</v>
      </c>
      <c r="C28" s="3" t="s">
        <v>4</v>
      </c>
      <c r="D28" s="3" t="s">
        <v>17</v>
      </c>
    </row>
    <row r="29" spans="1:4" x14ac:dyDescent="0.3">
      <c r="A29" s="1">
        <f t="shared" ref="A29:A41" si="1">DATE(2026,8,14)+INT((ROW()-ROW(A29))/5)</f>
        <v>46248</v>
      </c>
      <c r="B29" s="2">
        <v>0.27083333333333331</v>
      </c>
      <c r="C29" s="3" t="s">
        <v>6</v>
      </c>
      <c r="D29" s="3" t="s">
        <v>17</v>
      </c>
    </row>
    <row r="30" spans="1:4" x14ac:dyDescent="0.3">
      <c r="A30" s="1">
        <f t="shared" si="1"/>
        <v>46248</v>
      </c>
      <c r="B30" s="2">
        <v>0.29166666666666669</v>
      </c>
      <c r="C30" s="3" t="s">
        <v>5</v>
      </c>
      <c r="D30" s="3" t="s">
        <v>17</v>
      </c>
    </row>
    <row r="31" spans="1:4" x14ac:dyDescent="0.3">
      <c r="A31" s="1">
        <f t="shared" si="1"/>
        <v>46248</v>
      </c>
      <c r="B31" s="2">
        <v>0.30555555555555552</v>
      </c>
      <c r="C31" s="3" t="s">
        <v>7</v>
      </c>
      <c r="D31" s="3" t="s">
        <v>17</v>
      </c>
    </row>
    <row r="32" spans="1:4" x14ac:dyDescent="0.3">
      <c r="A32" s="1">
        <f t="shared" si="1"/>
        <v>46248</v>
      </c>
      <c r="B32" s="2">
        <v>0.35416666666666669</v>
      </c>
      <c r="C32" s="3" t="s">
        <v>8</v>
      </c>
      <c r="D32" s="3" t="s">
        <v>17</v>
      </c>
    </row>
    <row r="33" spans="1:4" x14ac:dyDescent="0.3">
      <c r="A33" s="1">
        <f t="shared" si="1"/>
        <v>46248</v>
      </c>
      <c r="B33" s="2">
        <v>0.48958333333333331</v>
      </c>
      <c r="C33" s="3" t="s">
        <v>10</v>
      </c>
      <c r="D33" s="3" t="s">
        <v>18</v>
      </c>
    </row>
    <row r="34" spans="1:4" x14ac:dyDescent="0.3">
      <c r="A34" s="1">
        <f t="shared" si="1"/>
        <v>46248</v>
      </c>
      <c r="B34" s="2">
        <v>0.5625</v>
      </c>
      <c r="C34" s="3" t="s">
        <v>11</v>
      </c>
      <c r="D34" s="3" t="s">
        <v>18</v>
      </c>
    </row>
    <row r="35" spans="1:4" x14ac:dyDescent="0.3">
      <c r="A35" s="1">
        <f t="shared" si="1"/>
        <v>46248</v>
      </c>
      <c r="B35" s="2">
        <v>0.58333333333333337</v>
      </c>
      <c r="C35" s="3" t="s">
        <v>9</v>
      </c>
      <c r="D35" s="3" t="s">
        <v>17</v>
      </c>
    </row>
    <row r="36" spans="1:4" x14ac:dyDescent="0.3">
      <c r="A36" s="1">
        <f t="shared" si="1"/>
        <v>46248</v>
      </c>
      <c r="B36" s="2">
        <v>0.6875</v>
      </c>
      <c r="C36" s="3" t="s">
        <v>12</v>
      </c>
      <c r="D36" s="3" t="s">
        <v>17</v>
      </c>
    </row>
    <row r="37" spans="1:4" x14ac:dyDescent="0.3">
      <c r="A37" s="1">
        <f t="shared" si="1"/>
        <v>46248</v>
      </c>
      <c r="B37" s="2">
        <v>0.75</v>
      </c>
      <c r="C37" s="3" t="s">
        <v>13</v>
      </c>
      <c r="D37" s="3" t="s">
        <v>17</v>
      </c>
    </row>
    <row r="38" spans="1:4" x14ac:dyDescent="0.3">
      <c r="A38" s="1">
        <f t="shared" si="1"/>
        <v>46248</v>
      </c>
      <c r="B38" s="2">
        <v>0.79166666666666663</v>
      </c>
      <c r="C38" s="3" t="s">
        <v>14</v>
      </c>
      <c r="D38" s="3" t="s">
        <v>17</v>
      </c>
    </row>
    <row r="39" spans="1:4" x14ac:dyDescent="0.3">
      <c r="A39" s="1">
        <f t="shared" si="1"/>
        <v>46248</v>
      </c>
      <c r="B39" s="2">
        <v>0.85416666666666663</v>
      </c>
      <c r="C39" s="3" t="s">
        <v>15</v>
      </c>
      <c r="D39" s="3" t="s">
        <v>17</v>
      </c>
    </row>
    <row r="40" spans="1:4" x14ac:dyDescent="0.3">
      <c r="A40" s="1">
        <f>DATE(2026,8,14)+INT((ROW()-ROW(A40))/5)</f>
        <v>46248</v>
      </c>
      <c r="B40" s="2">
        <v>0.91666666666666663</v>
      </c>
      <c r="C40" s="3" t="s">
        <v>16</v>
      </c>
      <c r="D40" s="3" t="s">
        <v>17</v>
      </c>
    </row>
    <row r="41" spans="1:4" x14ac:dyDescent="0.3">
      <c r="A41" s="1">
        <f>DATE(2026,8,15)+INT((ROW()-ROW(A41))/5)</f>
        <v>46249</v>
      </c>
      <c r="B41" s="2">
        <v>0.25</v>
      </c>
      <c r="C41" s="3" t="s">
        <v>4</v>
      </c>
      <c r="D41" s="3" t="s">
        <v>17</v>
      </c>
    </row>
    <row r="42" spans="1:4" x14ac:dyDescent="0.3">
      <c r="A42" s="1">
        <f t="shared" ref="A42:A55" si="2">DATE(2026,8,15)+INT((ROW()-ROW(A42))/5)</f>
        <v>46249</v>
      </c>
      <c r="B42" s="2">
        <v>0.27083333333333331</v>
      </c>
      <c r="C42" s="3" t="s">
        <v>6</v>
      </c>
      <c r="D42" s="3" t="s">
        <v>17</v>
      </c>
    </row>
    <row r="43" spans="1:4" x14ac:dyDescent="0.3">
      <c r="A43" s="1">
        <f t="shared" si="2"/>
        <v>46249</v>
      </c>
      <c r="B43" s="2">
        <v>0.29166666666666669</v>
      </c>
      <c r="C43" s="3" t="s">
        <v>5</v>
      </c>
      <c r="D43" s="3" t="s">
        <v>17</v>
      </c>
    </row>
    <row r="44" spans="1:4" x14ac:dyDescent="0.3">
      <c r="A44" s="1">
        <f t="shared" si="2"/>
        <v>46249</v>
      </c>
      <c r="B44" s="2">
        <v>0.30555555555555552</v>
      </c>
      <c r="C44" s="3" t="s">
        <v>21</v>
      </c>
      <c r="D44" s="3" t="s">
        <v>17</v>
      </c>
    </row>
    <row r="45" spans="1:4" x14ac:dyDescent="0.3">
      <c r="A45" s="1">
        <f t="shared" si="2"/>
        <v>46249</v>
      </c>
      <c r="B45" s="2">
        <v>0.34722222222222227</v>
      </c>
      <c r="C45" s="3" t="s">
        <v>22</v>
      </c>
      <c r="D45" s="3" t="s">
        <v>17</v>
      </c>
    </row>
    <row r="46" spans="1:4" x14ac:dyDescent="0.3">
      <c r="A46" s="1">
        <f t="shared" si="2"/>
        <v>46249</v>
      </c>
      <c r="B46" s="2">
        <v>0.41666666666666669</v>
      </c>
      <c r="C46" s="3" t="s">
        <v>19</v>
      </c>
      <c r="D46" s="3" t="s">
        <v>17</v>
      </c>
    </row>
    <row r="47" spans="1:4" x14ac:dyDescent="0.3">
      <c r="A47" s="1">
        <f t="shared" si="2"/>
        <v>46249</v>
      </c>
      <c r="B47" s="2">
        <v>0.5625</v>
      </c>
      <c r="C47" s="3" t="s">
        <v>9</v>
      </c>
      <c r="D47" s="3" t="s">
        <v>17</v>
      </c>
    </row>
    <row r="48" spans="1:4" x14ac:dyDescent="0.3">
      <c r="A48" s="1">
        <f t="shared" si="2"/>
        <v>46249</v>
      </c>
      <c r="B48" s="2">
        <v>0.58333333333333337</v>
      </c>
      <c r="C48" s="3" t="s">
        <v>12</v>
      </c>
      <c r="D48" s="3" t="s">
        <v>18</v>
      </c>
    </row>
    <row r="49" spans="1:4" x14ac:dyDescent="0.3">
      <c r="A49" s="1">
        <f t="shared" si="2"/>
        <v>46249</v>
      </c>
      <c r="B49" s="2">
        <v>0.6875</v>
      </c>
      <c r="C49" s="3" t="s">
        <v>13</v>
      </c>
      <c r="D49" s="3" t="s">
        <v>17</v>
      </c>
    </row>
    <row r="50" spans="1:4" x14ac:dyDescent="0.3">
      <c r="A50" s="1">
        <f t="shared" si="2"/>
        <v>46249</v>
      </c>
      <c r="B50" s="2">
        <v>0.75</v>
      </c>
      <c r="C50" s="3" t="s">
        <v>20</v>
      </c>
      <c r="D50" s="3" t="s">
        <v>17</v>
      </c>
    </row>
    <row r="51" spans="1:4" x14ac:dyDescent="0.3">
      <c r="A51" s="1">
        <f t="shared" si="2"/>
        <v>46249</v>
      </c>
      <c r="B51" s="2">
        <v>0.77083333333333337</v>
      </c>
      <c r="C51" s="3" t="s">
        <v>14</v>
      </c>
      <c r="D51" s="3" t="s">
        <v>17</v>
      </c>
    </row>
    <row r="52" spans="1:4" x14ac:dyDescent="0.3">
      <c r="A52" s="1">
        <f t="shared" si="2"/>
        <v>46249</v>
      </c>
      <c r="B52" s="2">
        <v>0.79166666666666663</v>
      </c>
      <c r="C52" s="3" t="s">
        <v>12</v>
      </c>
      <c r="D52" s="3" t="s">
        <v>17</v>
      </c>
    </row>
    <row r="53" spans="1:4" x14ac:dyDescent="0.3">
      <c r="A53" s="1">
        <f t="shared" si="2"/>
        <v>46249</v>
      </c>
      <c r="B53" s="2">
        <v>0.85416666666666663</v>
      </c>
      <c r="C53" s="3" t="s">
        <v>15</v>
      </c>
      <c r="D53" s="3" t="s">
        <v>17</v>
      </c>
    </row>
    <row r="54" spans="1:4" x14ac:dyDescent="0.3">
      <c r="A54" s="1">
        <f t="shared" si="2"/>
        <v>46249</v>
      </c>
      <c r="B54" s="2">
        <v>0.91666666666666663</v>
      </c>
      <c r="C54" s="3" t="s">
        <v>23</v>
      </c>
      <c r="D54" s="3" t="s">
        <v>17</v>
      </c>
    </row>
    <row r="55" spans="1:4" x14ac:dyDescent="0.3">
      <c r="A55" s="1">
        <f>DATE(2026,8,16)+INT((ROW()-ROW(A55))/5)</f>
        <v>46250</v>
      </c>
      <c r="B55" s="2">
        <v>0.25</v>
      </c>
      <c r="C55" s="3" t="s">
        <v>4</v>
      </c>
      <c r="D55" s="3" t="s">
        <v>17</v>
      </c>
    </row>
    <row r="56" spans="1:4" x14ac:dyDescent="0.3">
      <c r="A56" s="1">
        <f t="shared" ref="A56:A68" si="3">DATE(2026,8,16)+INT((ROW()-ROW(A56))/5)</f>
        <v>46250</v>
      </c>
      <c r="B56" s="2">
        <v>0.27083333333333331</v>
      </c>
      <c r="C56" s="3" t="s">
        <v>6</v>
      </c>
      <c r="D56" s="3" t="s">
        <v>17</v>
      </c>
    </row>
    <row r="57" spans="1:4" x14ac:dyDescent="0.3">
      <c r="A57" s="1">
        <f t="shared" si="3"/>
        <v>46250</v>
      </c>
      <c r="B57" s="2">
        <v>0.29166666666666669</v>
      </c>
      <c r="C57" s="3" t="s">
        <v>5</v>
      </c>
      <c r="D57" s="3" t="s">
        <v>17</v>
      </c>
    </row>
    <row r="58" spans="1:4" x14ac:dyDescent="0.3">
      <c r="A58" s="1">
        <f t="shared" si="3"/>
        <v>46250</v>
      </c>
      <c r="B58" s="2">
        <v>0.30208333333333331</v>
      </c>
      <c r="C58" s="3" t="s">
        <v>24</v>
      </c>
      <c r="D58" s="3" t="s">
        <v>18</v>
      </c>
    </row>
    <row r="59" spans="1:4" x14ac:dyDescent="0.3">
      <c r="A59" s="1">
        <f t="shared" si="3"/>
        <v>46250</v>
      </c>
      <c r="B59" s="2">
        <v>0.32291666666666669</v>
      </c>
      <c r="C59" s="3" t="s">
        <v>25</v>
      </c>
      <c r="D59" s="3" t="s">
        <v>17</v>
      </c>
    </row>
    <row r="60" spans="1:4" x14ac:dyDescent="0.3">
      <c r="A60" s="1">
        <f t="shared" si="3"/>
        <v>46250</v>
      </c>
      <c r="B60" s="2">
        <v>0.5625</v>
      </c>
      <c r="C60" s="3" t="s">
        <v>9</v>
      </c>
      <c r="D60" s="3" t="s">
        <v>17</v>
      </c>
    </row>
    <row r="61" spans="1:4" x14ac:dyDescent="0.3">
      <c r="A61" s="1">
        <f t="shared" si="3"/>
        <v>46250</v>
      </c>
      <c r="B61" s="2">
        <v>0.58333333333333337</v>
      </c>
      <c r="C61" s="3" t="s">
        <v>12</v>
      </c>
      <c r="D61" s="3" t="s">
        <v>17</v>
      </c>
    </row>
    <row r="62" spans="1:4" x14ac:dyDescent="0.3">
      <c r="A62" s="1">
        <f t="shared" si="3"/>
        <v>46250</v>
      </c>
      <c r="B62" s="2">
        <v>0.6875</v>
      </c>
      <c r="C62" s="3" t="s">
        <v>26</v>
      </c>
      <c r="D62" s="3" t="s">
        <v>18</v>
      </c>
    </row>
    <row r="63" spans="1:4" x14ac:dyDescent="0.3">
      <c r="A63" s="1">
        <f t="shared" si="3"/>
        <v>46250</v>
      </c>
      <c r="B63" s="2">
        <v>0.75</v>
      </c>
      <c r="C63" s="3" t="s">
        <v>12</v>
      </c>
      <c r="D63" s="3" t="s">
        <v>17</v>
      </c>
    </row>
    <row r="64" spans="1:4" x14ac:dyDescent="0.3">
      <c r="A64" s="1">
        <f t="shared" si="3"/>
        <v>46250</v>
      </c>
      <c r="B64" s="2">
        <v>0.77083333333333337</v>
      </c>
      <c r="C64" s="3" t="s">
        <v>14</v>
      </c>
      <c r="D64" s="3" t="s">
        <v>17</v>
      </c>
    </row>
    <row r="65" spans="1:4" x14ac:dyDescent="0.3">
      <c r="A65" s="1">
        <f t="shared" si="3"/>
        <v>46250</v>
      </c>
      <c r="B65" s="2">
        <v>0.79166666666666663</v>
      </c>
      <c r="C65" s="3" t="s">
        <v>12</v>
      </c>
      <c r="D65" s="3" t="s">
        <v>17</v>
      </c>
    </row>
    <row r="66" spans="1:4" x14ac:dyDescent="0.3">
      <c r="A66" s="1">
        <f t="shared" si="3"/>
        <v>46250</v>
      </c>
      <c r="B66" s="2">
        <v>0.85416666666666663</v>
      </c>
      <c r="C66" s="3" t="s">
        <v>15</v>
      </c>
      <c r="D66" s="3" t="s">
        <v>17</v>
      </c>
    </row>
    <row r="67" spans="1:4" x14ac:dyDescent="0.3">
      <c r="A67" s="1">
        <f t="shared" si="3"/>
        <v>46250</v>
      </c>
      <c r="B67" s="2">
        <v>0.91666666666666663</v>
      </c>
      <c r="C67" s="3" t="s">
        <v>23</v>
      </c>
      <c r="D67" s="3" t="s">
        <v>17</v>
      </c>
    </row>
    <row r="68" spans="1:4" x14ac:dyDescent="0.3">
      <c r="A68" s="1">
        <f>DATE(2026,8,17)+INT((ROW()-ROW(A68))/5)</f>
        <v>46251</v>
      </c>
      <c r="B68" s="2">
        <v>0.25</v>
      </c>
      <c r="C68" s="3" t="s">
        <v>4</v>
      </c>
      <c r="D68" s="3" t="s">
        <v>17</v>
      </c>
    </row>
    <row r="69" spans="1:4" x14ac:dyDescent="0.3">
      <c r="A69" s="1">
        <f t="shared" ref="A69:A81" si="4">DATE(2026,8,17)+INT((ROW()-ROW(A69))/5)</f>
        <v>46251</v>
      </c>
      <c r="B69" s="2">
        <v>0.27083333333333331</v>
      </c>
      <c r="C69" s="3" t="s">
        <v>6</v>
      </c>
      <c r="D69" s="3" t="s">
        <v>17</v>
      </c>
    </row>
    <row r="70" spans="1:4" x14ac:dyDescent="0.3">
      <c r="A70" s="1">
        <f t="shared" si="4"/>
        <v>46251</v>
      </c>
      <c r="B70" s="2">
        <v>0.29166666666666669</v>
      </c>
      <c r="C70" s="3" t="s">
        <v>5</v>
      </c>
      <c r="D70" s="3" t="s">
        <v>17</v>
      </c>
    </row>
    <row r="71" spans="1:4" x14ac:dyDescent="0.3">
      <c r="A71" s="1">
        <f t="shared" si="4"/>
        <v>46251</v>
      </c>
      <c r="B71" s="2">
        <v>0.30555555555555552</v>
      </c>
      <c r="C71" s="3" t="s">
        <v>7</v>
      </c>
      <c r="D71" s="3" t="s">
        <v>17</v>
      </c>
    </row>
    <row r="72" spans="1:4" x14ac:dyDescent="0.3">
      <c r="A72" s="1">
        <f t="shared" si="4"/>
        <v>46251</v>
      </c>
      <c r="B72" s="2">
        <v>0.35416666666666669</v>
      </c>
      <c r="C72" s="3" t="s">
        <v>8</v>
      </c>
      <c r="D72" s="3" t="s">
        <v>17</v>
      </c>
    </row>
    <row r="73" spans="1:4" x14ac:dyDescent="0.3">
      <c r="A73" s="1">
        <f t="shared" si="4"/>
        <v>46251</v>
      </c>
      <c r="B73" s="2">
        <v>0.48958333333333331</v>
      </c>
      <c r="C73" s="3" t="s">
        <v>10</v>
      </c>
      <c r="D73" s="3" t="s">
        <v>18</v>
      </c>
    </row>
    <row r="74" spans="1:4" x14ac:dyDescent="0.3">
      <c r="A74" s="1">
        <f t="shared" si="4"/>
        <v>46251</v>
      </c>
      <c r="B74" s="2">
        <v>0.5625</v>
      </c>
      <c r="C74" s="3" t="s">
        <v>11</v>
      </c>
      <c r="D74" s="3" t="s">
        <v>18</v>
      </c>
    </row>
    <row r="75" spans="1:4" x14ac:dyDescent="0.3">
      <c r="A75" s="1">
        <f t="shared" si="4"/>
        <v>46251</v>
      </c>
      <c r="B75" s="2">
        <v>0.58333333333333337</v>
      </c>
      <c r="C75" s="3" t="s">
        <v>9</v>
      </c>
      <c r="D75" s="3" t="s">
        <v>17</v>
      </c>
    </row>
    <row r="76" spans="1:4" x14ac:dyDescent="0.3">
      <c r="A76" s="1">
        <f t="shared" si="4"/>
        <v>46251</v>
      </c>
      <c r="B76" s="2">
        <v>0.6875</v>
      </c>
      <c r="C76" s="3" t="s">
        <v>12</v>
      </c>
      <c r="D76" s="3" t="s">
        <v>17</v>
      </c>
    </row>
    <row r="77" spans="1:4" x14ac:dyDescent="0.3">
      <c r="A77" s="1">
        <f t="shared" si="4"/>
        <v>46251</v>
      </c>
      <c r="B77" s="2">
        <v>0.75</v>
      </c>
      <c r="C77" s="3" t="s">
        <v>13</v>
      </c>
      <c r="D77" s="3" t="s">
        <v>17</v>
      </c>
    </row>
    <row r="78" spans="1:4" x14ac:dyDescent="0.3">
      <c r="A78" s="1">
        <f t="shared" si="4"/>
        <v>46251</v>
      </c>
      <c r="B78" s="2">
        <v>0.79166666666666663</v>
      </c>
      <c r="C78" s="3" t="s">
        <v>14</v>
      </c>
      <c r="D78" s="3" t="s">
        <v>17</v>
      </c>
    </row>
    <row r="79" spans="1:4" x14ac:dyDescent="0.3">
      <c r="A79" s="1">
        <f t="shared" si="4"/>
        <v>46251</v>
      </c>
      <c r="B79" s="2">
        <v>0.85416666666666663</v>
      </c>
      <c r="C79" s="3" t="s">
        <v>15</v>
      </c>
      <c r="D79" s="3" t="s">
        <v>17</v>
      </c>
    </row>
    <row r="80" spans="1:4" x14ac:dyDescent="0.3">
      <c r="A80" s="1">
        <f t="shared" si="4"/>
        <v>46251</v>
      </c>
      <c r="B80" s="2">
        <v>0.91666666666666663</v>
      </c>
      <c r="C80" s="3" t="s">
        <v>16</v>
      </c>
      <c r="D80" s="3" t="s">
        <v>17</v>
      </c>
    </row>
    <row r="81" spans="1:4" x14ac:dyDescent="0.3">
      <c r="A81" s="1">
        <f>DATE(2026,8,18)+INT((ROW()-ROW(A81))/5)</f>
        <v>46252</v>
      </c>
      <c r="B81" s="2">
        <v>0.25</v>
      </c>
      <c r="C81" s="3" t="s">
        <v>4</v>
      </c>
      <c r="D81" s="3" t="s">
        <v>17</v>
      </c>
    </row>
    <row r="82" spans="1:4" x14ac:dyDescent="0.3">
      <c r="A82" s="1">
        <f t="shared" ref="A82:A93" si="5">DATE(2026,8,18)+INT((ROW()-ROW(A82))/5)</f>
        <v>46252</v>
      </c>
      <c r="B82" s="2">
        <v>0.27083333333333331</v>
      </c>
      <c r="C82" s="3" t="s">
        <v>6</v>
      </c>
      <c r="D82" s="3" t="s">
        <v>17</v>
      </c>
    </row>
    <row r="83" spans="1:4" x14ac:dyDescent="0.3">
      <c r="A83" s="1">
        <f t="shared" si="5"/>
        <v>46252</v>
      </c>
      <c r="B83" s="2">
        <v>0.29166666666666669</v>
      </c>
      <c r="C83" s="3" t="s">
        <v>5</v>
      </c>
      <c r="D83" s="3" t="s">
        <v>17</v>
      </c>
    </row>
    <row r="84" spans="1:4" x14ac:dyDescent="0.3">
      <c r="A84" s="1">
        <f t="shared" si="5"/>
        <v>46252</v>
      </c>
      <c r="B84" s="2">
        <v>0.30555555555555552</v>
      </c>
      <c r="C84" s="3" t="s">
        <v>7</v>
      </c>
      <c r="D84" s="3" t="s">
        <v>17</v>
      </c>
    </row>
    <row r="85" spans="1:4" x14ac:dyDescent="0.3">
      <c r="A85" s="1">
        <f t="shared" si="5"/>
        <v>46252</v>
      </c>
      <c r="B85" s="2">
        <v>0.35416666666666669</v>
      </c>
      <c r="C85" s="3" t="s">
        <v>8</v>
      </c>
      <c r="D85" s="3" t="s">
        <v>17</v>
      </c>
    </row>
    <row r="86" spans="1:4" x14ac:dyDescent="0.3">
      <c r="A86" s="1">
        <f t="shared" si="5"/>
        <v>46252</v>
      </c>
      <c r="B86" s="2">
        <v>0.48958333333333331</v>
      </c>
      <c r="C86" s="3" t="s">
        <v>10</v>
      </c>
      <c r="D86" s="3" t="s">
        <v>18</v>
      </c>
    </row>
    <row r="87" spans="1:4" x14ac:dyDescent="0.3">
      <c r="A87" s="1">
        <f t="shared" si="5"/>
        <v>46252</v>
      </c>
      <c r="B87" s="2">
        <v>0.5625</v>
      </c>
      <c r="C87" s="3" t="s">
        <v>11</v>
      </c>
      <c r="D87" s="3" t="s">
        <v>18</v>
      </c>
    </row>
    <row r="88" spans="1:4" x14ac:dyDescent="0.3">
      <c r="A88" s="1">
        <f t="shared" si="5"/>
        <v>46252</v>
      </c>
      <c r="B88" s="2">
        <v>0.58333333333333337</v>
      </c>
      <c r="C88" s="3" t="s">
        <v>9</v>
      </c>
      <c r="D88" s="3" t="s">
        <v>17</v>
      </c>
    </row>
    <row r="89" spans="1:4" x14ac:dyDescent="0.3">
      <c r="A89" s="1">
        <f t="shared" si="5"/>
        <v>46252</v>
      </c>
      <c r="B89" s="2">
        <v>0.6875</v>
      </c>
      <c r="C89" s="3" t="s">
        <v>12</v>
      </c>
      <c r="D89" s="3" t="s">
        <v>17</v>
      </c>
    </row>
    <row r="90" spans="1:4" x14ac:dyDescent="0.3">
      <c r="A90" s="1">
        <f t="shared" si="5"/>
        <v>46252</v>
      </c>
      <c r="B90" s="2">
        <v>0.75</v>
      </c>
      <c r="C90" s="3" t="s">
        <v>13</v>
      </c>
      <c r="D90" s="3" t="s">
        <v>17</v>
      </c>
    </row>
    <row r="91" spans="1:4" x14ac:dyDescent="0.3">
      <c r="A91" s="1">
        <f t="shared" si="5"/>
        <v>46252</v>
      </c>
      <c r="B91" s="2">
        <v>0.79166666666666663</v>
      </c>
      <c r="C91" s="3" t="s">
        <v>14</v>
      </c>
      <c r="D91" s="3" t="s">
        <v>17</v>
      </c>
    </row>
    <row r="92" spans="1:4" x14ac:dyDescent="0.3">
      <c r="A92" s="1">
        <f t="shared" si="5"/>
        <v>46252</v>
      </c>
      <c r="B92" s="2">
        <v>0.85416666666666663</v>
      </c>
      <c r="C92" s="3" t="s">
        <v>15</v>
      </c>
      <c r="D92" s="3" t="s">
        <v>17</v>
      </c>
    </row>
    <row r="93" spans="1:4" x14ac:dyDescent="0.3">
      <c r="A93" s="1">
        <f t="shared" si="5"/>
        <v>46252</v>
      </c>
      <c r="B93" s="2">
        <v>0.91666666666666663</v>
      </c>
      <c r="C93" s="3" t="s">
        <v>16</v>
      </c>
      <c r="D93" s="3" t="s">
        <v>17</v>
      </c>
    </row>
    <row r="94" spans="1:4" x14ac:dyDescent="0.3">
      <c r="A94" s="1">
        <f>DATE(2026,8,19)+INT((ROW()-ROW(A94))/5)</f>
        <v>46253</v>
      </c>
      <c r="B94" s="2">
        <v>0.25</v>
      </c>
      <c r="C94" s="3" t="s">
        <v>4</v>
      </c>
      <c r="D94" s="3" t="s">
        <v>17</v>
      </c>
    </row>
    <row r="95" spans="1:4" x14ac:dyDescent="0.3">
      <c r="A95" s="1">
        <f t="shared" ref="A95:A106" si="6">DATE(2026,8,19)+INT((ROW()-ROW(A95))/5)</f>
        <v>46253</v>
      </c>
      <c r="B95" s="2">
        <v>0.27083333333333331</v>
      </c>
      <c r="C95" s="3" t="s">
        <v>6</v>
      </c>
      <c r="D95" s="3" t="s">
        <v>17</v>
      </c>
    </row>
    <row r="96" spans="1:4" x14ac:dyDescent="0.3">
      <c r="A96" s="1">
        <f t="shared" si="6"/>
        <v>46253</v>
      </c>
      <c r="B96" s="2">
        <v>0.29166666666666669</v>
      </c>
      <c r="C96" s="3" t="s">
        <v>5</v>
      </c>
      <c r="D96" s="3" t="s">
        <v>17</v>
      </c>
    </row>
    <row r="97" spans="1:4" x14ac:dyDescent="0.3">
      <c r="A97" s="1">
        <f t="shared" si="6"/>
        <v>46253</v>
      </c>
      <c r="B97" s="2">
        <v>0.30555555555555552</v>
      </c>
      <c r="C97" s="3" t="s">
        <v>7</v>
      </c>
      <c r="D97" s="3" t="s">
        <v>17</v>
      </c>
    </row>
    <row r="98" spans="1:4" x14ac:dyDescent="0.3">
      <c r="A98" s="1">
        <f t="shared" si="6"/>
        <v>46253</v>
      </c>
      <c r="B98" s="2">
        <v>0.35416666666666669</v>
      </c>
      <c r="C98" s="3" t="s">
        <v>8</v>
      </c>
      <c r="D98" s="3" t="s">
        <v>17</v>
      </c>
    </row>
    <row r="99" spans="1:4" x14ac:dyDescent="0.3">
      <c r="A99" s="1">
        <f t="shared" si="6"/>
        <v>46253</v>
      </c>
      <c r="B99" s="2">
        <v>0.48958333333333331</v>
      </c>
      <c r="C99" s="3" t="s">
        <v>10</v>
      </c>
      <c r="D99" s="3" t="s">
        <v>18</v>
      </c>
    </row>
    <row r="100" spans="1:4" x14ac:dyDescent="0.3">
      <c r="A100" s="1">
        <f t="shared" si="6"/>
        <v>46253</v>
      </c>
      <c r="B100" s="2">
        <v>0.5625</v>
      </c>
      <c r="C100" s="3" t="s">
        <v>11</v>
      </c>
      <c r="D100" s="3" t="s">
        <v>18</v>
      </c>
    </row>
    <row r="101" spans="1:4" x14ac:dyDescent="0.3">
      <c r="A101" s="1">
        <f t="shared" si="6"/>
        <v>46253</v>
      </c>
      <c r="B101" s="2">
        <v>0.58333333333333337</v>
      </c>
      <c r="C101" s="3" t="s">
        <v>9</v>
      </c>
      <c r="D101" s="3" t="s">
        <v>17</v>
      </c>
    </row>
    <row r="102" spans="1:4" x14ac:dyDescent="0.3">
      <c r="A102" s="1">
        <f t="shared" si="6"/>
        <v>46253</v>
      </c>
      <c r="B102" s="2">
        <v>0.6875</v>
      </c>
      <c r="C102" s="3" t="s">
        <v>12</v>
      </c>
      <c r="D102" s="3" t="s">
        <v>17</v>
      </c>
    </row>
    <row r="103" spans="1:4" x14ac:dyDescent="0.3">
      <c r="A103" s="1">
        <f t="shared" si="6"/>
        <v>46253</v>
      </c>
      <c r="B103" s="2">
        <v>0.75</v>
      </c>
      <c r="C103" s="3" t="s">
        <v>13</v>
      </c>
      <c r="D103" s="3" t="s">
        <v>17</v>
      </c>
    </row>
    <row r="104" spans="1:4" x14ac:dyDescent="0.3">
      <c r="A104" s="1">
        <f t="shared" si="6"/>
        <v>46253</v>
      </c>
      <c r="B104" s="2">
        <v>0.79166666666666663</v>
      </c>
      <c r="C104" s="3" t="s">
        <v>14</v>
      </c>
      <c r="D104" s="3" t="s">
        <v>17</v>
      </c>
    </row>
    <row r="105" spans="1:4" x14ac:dyDescent="0.3">
      <c r="A105" s="1">
        <f t="shared" si="6"/>
        <v>46253</v>
      </c>
      <c r="B105" s="2">
        <v>0.85416666666666663</v>
      </c>
      <c r="C105" s="3" t="s">
        <v>15</v>
      </c>
      <c r="D105" s="3" t="s">
        <v>17</v>
      </c>
    </row>
    <row r="106" spans="1:4" x14ac:dyDescent="0.3">
      <c r="A106" s="1">
        <f t="shared" si="6"/>
        <v>46253</v>
      </c>
      <c r="B106" s="2">
        <v>0.91666666666666663</v>
      </c>
      <c r="C106" s="3" t="s">
        <v>16</v>
      </c>
      <c r="D106" s="3" t="s">
        <v>17</v>
      </c>
    </row>
    <row r="107" spans="1:4" x14ac:dyDescent="0.3">
      <c r="A107" s="1">
        <f>DATE(2026,8,20)+INT((ROW()-ROW(A107))/5)</f>
        <v>46254</v>
      </c>
      <c r="B107" s="2">
        <v>0.25</v>
      </c>
      <c r="C107" s="3" t="s">
        <v>4</v>
      </c>
      <c r="D107" s="3" t="s">
        <v>17</v>
      </c>
    </row>
    <row r="108" spans="1:4" x14ac:dyDescent="0.3">
      <c r="A108" s="1">
        <f t="shared" ref="A108:A119" si="7">DATE(2026,8,20)+INT((ROW()-ROW(A108))/5)</f>
        <v>46254</v>
      </c>
      <c r="B108" s="2">
        <v>0.27083333333333331</v>
      </c>
      <c r="C108" s="3" t="s">
        <v>6</v>
      </c>
      <c r="D108" s="3" t="s">
        <v>17</v>
      </c>
    </row>
    <row r="109" spans="1:4" x14ac:dyDescent="0.3">
      <c r="A109" s="1">
        <f t="shared" si="7"/>
        <v>46254</v>
      </c>
      <c r="B109" s="2">
        <v>0.29166666666666669</v>
      </c>
      <c r="C109" s="3" t="s">
        <v>5</v>
      </c>
      <c r="D109" s="3" t="s">
        <v>17</v>
      </c>
    </row>
    <row r="110" spans="1:4" x14ac:dyDescent="0.3">
      <c r="A110" s="1">
        <f t="shared" si="7"/>
        <v>46254</v>
      </c>
      <c r="B110" s="2">
        <v>0.30555555555555552</v>
      </c>
      <c r="C110" s="3" t="s">
        <v>7</v>
      </c>
      <c r="D110" s="3" t="s">
        <v>17</v>
      </c>
    </row>
    <row r="111" spans="1:4" x14ac:dyDescent="0.3">
      <c r="A111" s="1">
        <f t="shared" si="7"/>
        <v>46254</v>
      </c>
      <c r="B111" s="2">
        <v>0.35416666666666669</v>
      </c>
      <c r="C111" s="3" t="s">
        <v>8</v>
      </c>
      <c r="D111" s="3" t="s">
        <v>17</v>
      </c>
    </row>
    <row r="112" spans="1:4" x14ac:dyDescent="0.3">
      <c r="A112" s="1">
        <f t="shared" si="7"/>
        <v>46254</v>
      </c>
      <c r="B112" s="2">
        <v>0.48958333333333331</v>
      </c>
      <c r="C112" s="3" t="s">
        <v>10</v>
      </c>
      <c r="D112" s="3" t="s">
        <v>18</v>
      </c>
    </row>
    <row r="113" spans="1:4" x14ac:dyDescent="0.3">
      <c r="A113" s="1">
        <f t="shared" si="7"/>
        <v>46254</v>
      </c>
      <c r="B113" s="2">
        <v>0.5625</v>
      </c>
      <c r="C113" s="3" t="s">
        <v>11</v>
      </c>
      <c r="D113" s="3" t="s">
        <v>18</v>
      </c>
    </row>
    <row r="114" spans="1:4" x14ac:dyDescent="0.3">
      <c r="A114" s="1">
        <f t="shared" si="7"/>
        <v>46254</v>
      </c>
      <c r="B114" s="2">
        <v>0.58333333333333337</v>
      </c>
      <c r="C114" s="3" t="s">
        <v>9</v>
      </c>
      <c r="D114" s="3" t="s">
        <v>17</v>
      </c>
    </row>
    <row r="115" spans="1:4" x14ac:dyDescent="0.3">
      <c r="A115" s="1">
        <f t="shared" si="7"/>
        <v>46254</v>
      </c>
      <c r="B115" s="2">
        <v>0.6875</v>
      </c>
      <c r="C115" s="3" t="s">
        <v>12</v>
      </c>
      <c r="D115" s="3" t="s">
        <v>17</v>
      </c>
    </row>
    <row r="116" spans="1:4" x14ac:dyDescent="0.3">
      <c r="A116" s="1">
        <f t="shared" si="7"/>
        <v>46254</v>
      </c>
      <c r="B116" s="2">
        <v>0.75</v>
      </c>
      <c r="C116" s="3" t="s">
        <v>13</v>
      </c>
      <c r="D116" s="3" t="s">
        <v>17</v>
      </c>
    </row>
    <row r="117" spans="1:4" x14ac:dyDescent="0.3">
      <c r="A117" s="1">
        <f t="shared" si="7"/>
        <v>46254</v>
      </c>
      <c r="B117" s="2">
        <v>0.79166666666666663</v>
      </c>
      <c r="C117" s="3" t="s">
        <v>14</v>
      </c>
      <c r="D117" s="3" t="s">
        <v>17</v>
      </c>
    </row>
    <row r="118" spans="1:4" x14ac:dyDescent="0.3">
      <c r="A118" s="1">
        <f t="shared" si="7"/>
        <v>46254</v>
      </c>
      <c r="B118" s="2">
        <v>0.85416666666666663</v>
      </c>
      <c r="C118" s="3" t="s">
        <v>15</v>
      </c>
      <c r="D118" s="3" t="s">
        <v>17</v>
      </c>
    </row>
    <row r="119" spans="1:4" x14ac:dyDescent="0.3">
      <c r="A119" s="1">
        <f t="shared" si="7"/>
        <v>46254</v>
      </c>
      <c r="B119" s="2">
        <v>0.91666666666666663</v>
      </c>
      <c r="C119" s="3" t="s">
        <v>16</v>
      </c>
      <c r="D119" s="3" t="s">
        <v>17</v>
      </c>
    </row>
    <row r="120" spans="1:4" x14ac:dyDescent="0.3">
      <c r="A120" s="1">
        <f>DATE(2026,8,21)+INT((ROW()-ROW(A120))/5)</f>
        <v>46255</v>
      </c>
      <c r="B120" s="2">
        <v>0.25</v>
      </c>
      <c r="C120" s="3" t="s">
        <v>4</v>
      </c>
      <c r="D120" s="3" t="s">
        <v>17</v>
      </c>
    </row>
    <row r="121" spans="1:4" x14ac:dyDescent="0.3">
      <c r="A121" s="1">
        <f t="shared" ref="A121:A133" si="8">DATE(2026,8,21)+INT((ROW()-ROW(A121))/5)</f>
        <v>46255</v>
      </c>
      <c r="B121" s="2">
        <v>0.27083333333333331</v>
      </c>
      <c r="C121" s="3" t="s">
        <v>6</v>
      </c>
      <c r="D121" s="3" t="s">
        <v>17</v>
      </c>
    </row>
    <row r="122" spans="1:4" x14ac:dyDescent="0.3">
      <c r="A122" s="1">
        <f t="shared" si="8"/>
        <v>46255</v>
      </c>
      <c r="B122" s="2">
        <v>0.29166666666666669</v>
      </c>
      <c r="C122" s="3" t="s">
        <v>5</v>
      </c>
      <c r="D122" s="3" t="s">
        <v>17</v>
      </c>
    </row>
    <row r="123" spans="1:4" x14ac:dyDescent="0.3">
      <c r="A123" s="1">
        <f t="shared" si="8"/>
        <v>46255</v>
      </c>
      <c r="B123" s="2">
        <v>0.30555555555555552</v>
      </c>
      <c r="C123" s="3" t="s">
        <v>7</v>
      </c>
      <c r="D123" s="3" t="s">
        <v>17</v>
      </c>
    </row>
    <row r="124" spans="1:4" x14ac:dyDescent="0.3">
      <c r="A124" s="1">
        <f t="shared" si="8"/>
        <v>46255</v>
      </c>
      <c r="B124" s="2">
        <v>0.35416666666666669</v>
      </c>
      <c r="C124" s="3" t="s">
        <v>8</v>
      </c>
      <c r="D124" s="3" t="s">
        <v>17</v>
      </c>
    </row>
    <row r="125" spans="1:4" x14ac:dyDescent="0.3">
      <c r="A125" s="1">
        <f t="shared" si="8"/>
        <v>46255</v>
      </c>
      <c r="B125" s="2">
        <v>0.48958333333333331</v>
      </c>
      <c r="C125" s="3" t="s">
        <v>10</v>
      </c>
      <c r="D125" s="3" t="s">
        <v>18</v>
      </c>
    </row>
    <row r="126" spans="1:4" x14ac:dyDescent="0.3">
      <c r="A126" s="1">
        <f t="shared" si="8"/>
        <v>46255</v>
      </c>
      <c r="B126" s="2">
        <v>0.5625</v>
      </c>
      <c r="C126" s="3" t="s">
        <v>11</v>
      </c>
      <c r="D126" s="3" t="s">
        <v>18</v>
      </c>
    </row>
    <row r="127" spans="1:4" x14ac:dyDescent="0.3">
      <c r="A127" s="1">
        <f t="shared" si="8"/>
        <v>46255</v>
      </c>
      <c r="B127" s="2">
        <v>0.58333333333333337</v>
      </c>
      <c r="C127" s="3" t="s">
        <v>9</v>
      </c>
      <c r="D127" s="3" t="s">
        <v>17</v>
      </c>
    </row>
    <row r="128" spans="1:4" x14ac:dyDescent="0.3">
      <c r="A128" s="1">
        <f t="shared" si="8"/>
        <v>46255</v>
      </c>
      <c r="B128" s="2">
        <v>0.6875</v>
      </c>
      <c r="C128" s="3" t="s">
        <v>12</v>
      </c>
      <c r="D128" s="3" t="s">
        <v>17</v>
      </c>
    </row>
    <row r="129" spans="1:4" x14ac:dyDescent="0.3">
      <c r="A129" s="1">
        <f t="shared" si="8"/>
        <v>46255</v>
      </c>
      <c r="B129" s="2">
        <v>0.75</v>
      </c>
      <c r="C129" s="3" t="s">
        <v>13</v>
      </c>
      <c r="D129" s="3" t="s">
        <v>17</v>
      </c>
    </row>
    <row r="130" spans="1:4" x14ac:dyDescent="0.3">
      <c r="A130" s="1">
        <f t="shared" si="8"/>
        <v>46255</v>
      </c>
      <c r="B130" s="2">
        <v>0.79166666666666663</v>
      </c>
      <c r="C130" s="3" t="s">
        <v>14</v>
      </c>
      <c r="D130" s="3" t="s">
        <v>17</v>
      </c>
    </row>
    <row r="131" spans="1:4" x14ac:dyDescent="0.3">
      <c r="A131" s="1">
        <f t="shared" si="8"/>
        <v>46255</v>
      </c>
      <c r="B131" s="2">
        <v>0.85416666666666663</v>
      </c>
      <c r="C131" s="3" t="s">
        <v>15</v>
      </c>
      <c r="D131" s="3" t="s">
        <v>17</v>
      </c>
    </row>
    <row r="132" spans="1:4" x14ac:dyDescent="0.3">
      <c r="A132" s="1">
        <f t="shared" si="8"/>
        <v>46255</v>
      </c>
      <c r="B132" s="2">
        <v>0.91666666666666663</v>
      </c>
      <c r="C132" s="3" t="s">
        <v>16</v>
      </c>
      <c r="D132" s="3" t="s">
        <v>17</v>
      </c>
    </row>
    <row r="133" spans="1:4" x14ac:dyDescent="0.3">
      <c r="A133" s="1">
        <f>DATE(2026,8,22)+INT((ROW()-ROW(A133))/5)</f>
        <v>46256</v>
      </c>
      <c r="B133" s="2">
        <v>0.25</v>
      </c>
      <c r="C133" s="3" t="s">
        <v>4</v>
      </c>
      <c r="D133" s="3" t="s">
        <v>17</v>
      </c>
    </row>
    <row r="134" spans="1:4" x14ac:dyDescent="0.3">
      <c r="A134" s="1">
        <f t="shared" ref="A134:A147" si="9">DATE(2026,8,22)+INT((ROW()-ROW(A134))/5)</f>
        <v>46256</v>
      </c>
      <c r="B134" s="2">
        <v>0.27083333333333331</v>
      </c>
      <c r="C134" s="3" t="s">
        <v>6</v>
      </c>
      <c r="D134" s="3" t="s">
        <v>17</v>
      </c>
    </row>
    <row r="135" spans="1:4" x14ac:dyDescent="0.3">
      <c r="A135" s="1">
        <f t="shared" si="9"/>
        <v>46256</v>
      </c>
      <c r="B135" s="2">
        <v>0.29166666666666669</v>
      </c>
      <c r="C135" s="3" t="s">
        <v>5</v>
      </c>
      <c r="D135" s="3" t="s">
        <v>17</v>
      </c>
    </row>
    <row r="136" spans="1:4" x14ac:dyDescent="0.3">
      <c r="A136" s="1">
        <f t="shared" si="9"/>
        <v>46256</v>
      </c>
      <c r="B136" s="2">
        <v>0.30555555555555552</v>
      </c>
      <c r="C136" s="3" t="s">
        <v>21</v>
      </c>
      <c r="D136" s="3" t="s">
        <v>17</v>
      </c>
    </row>
    <row r="137" spans="1:4" x14ac:dyDescent="0.3">
      <c r="A137" s="1">
        <f t="shared" si="9"/>
        <v>46256</v>
      </c>
      <c r="B137" s="2">
        <v>0.34722222222222227</v>
      </c>
      <c r="C137" s="3" t="s">
        <v>22</v>
      </c>
      <c r="D137" s="3" t="s">
        <v>17</v>
      </c>
    </row>
    <row r="138" spans="1:4" x14ac:dyDescent="0.3">
      <c r="A138" s="1">
        <f t="shared" si="9"/>
        <v>46256</v>
      </c>
      <c r="B138" s="2">
        <v>0.41666666666666669</v>
      </c>
      <c r="C138" s="3" t="s">
        <v>19</v>
      </c>
      <c r="D138" s="3" t="s">
        <v>17</v>
      </c>
    </row>
    <row r="139" spans="1:4" x14ac:dyDescent="0.3">
      <c r="A139" s="1">
        <f t="shared" si="9"/>
        <v>46256</v>
      </c>
      <c r="B139" s="2">
        <v>0.5625</v>
      </c>
      <c r="C139" s="3" t="s">
        <v>9</v>
      </c>
      <c r="D139" s="3" t="s">
        <v>17</v>
      </c>
    </row>
    <row r="140" spans="1:4" x14ac:dyDescent="0.3">
      <c r="A140" s="1">
        <f t="shared" si="9"/>
        <v>46256</v>
      </c>
      <c r="B140" s="2">
        <v>0.58333333333333337</v>
      </c>
      <c r="C140" s="3" t="s">
        <v>12</v>
      </c>
      <c r="D140" s="3" t="s">
        <v>18</v>
      </c>
    </row>
    <row r="141" spans="1:4" x14ac:dyDescent="0.3">
      <c r="A141" s="1">
        <f t="shared" si="9"/>
        <v>46256</v>
      </c>
      <c r="B141" s="2">
        <v>0.6875</v>
      </c>
      <c r="C141" s="3" t="s">
        <v>13</v>
      </c>
      <c r="D141" s="3" t="s">
        <v>17</v>
      </c>
    </row>
    <row r="142" spans="1:4" x14ac:dyDescent="0.3">
      <c r="A142" s="1">
        <f t="shared" si="9"/>
        <v>46256</v>
      </c>
      <c r="B142" s="2">
        <v>0.75</v>
      </c>
      <c r="C142" s="3" t="s">
        <v>20</v>
      </c>
      <c r="D142" s="3" t="s">
        <v>17</v>
      </c>
    </row>
    <row r="143" spans="1:4" x14ac:dyDescent="0.3">
      <c r="A143" s="1">
        <f t="shared" si="9"/>
        <v>46256</v>
      </c>
      <c r="B143" s="2">
        <v>0.77083333333333337</v>
      </c>
      <c r="C143" s="3" t="s">
        <v>14</v>
      </c>
      <c r="D143" s="3" t="s">
        <v>17</v>
      </c>
    </row>
    <row r="144" spans="1:4" x14ac:dyDescent="0.3">
      <c r="A144" s="1">
        <f t="shared" si="9"/>
        <v>46256</v>
      </c>
      <c r="B144" s="2">
        <v>0.79166666666666663</v>
      </c>
      <c r="C144" s="3" t="s">
        <v>12</v>
      </c>
      <c r="D144" s="3" t="s">
        <v>17</v>
      </c>
    </row>
    <row r="145" spans="1:4" x14ac:dyDescent="0.3">
      <c r="A145" s="1">
        <f t="shared" si="9"/>
        <v>46256</v>
      </c>
      <c r="B145" s="2">
        <v>0.85416666666666663</v>
      </c>
      <c r="C145" s="3" t="s">
        <v>15</v>
      </c>
      <c r="D145" s="3" t="s">
        <v>17</v>
      </c>
    </row>
    <row r="146" spans="1:4" x14ac:dyDescent="0.3">
      <c r="A146" s="1">
        <f t="shared" si="9"/>
        <v>46256</v>
      </c>
      <c r="B146" s="2">
        <v>0.91666666666666663</v>
      </c>
      <c r="C146" s="3" t="s">
        <v>23</v>
      </c>
      <c r="D146" s="3" t="s">
        <v>17</v>
      </c>
    </row>
    <row r="147" spans="1:4" x14ac:dyDescent="0.3">
      <c r="A147" s="1">
        <f>DATE(2026,8,23)+INT((ROW()-ROW(A147))/5)</f>
        <v>46257</v>
      </c>
      <c r="B147" s="2">
        <v>0.25</v>
      </c>
      <c r="C147" s="3" t="s">
        <v>4</v>
      </c>
      <c r="D147" s="3" t="s">
        <v>17</v>
      </c>
    </row>
    <row r="148" spans="1:4" x14ac:dyDescent="0.3">
      <c r="A148" s="1">
        <f t="shared" ref="A148:A159" si="10">DATE(2026,8,23)+INT((ROW()-ROW(A148))/5)</f>
        <v>46257</v>
      </c>
      <c r="B148" s="2">
        <v>0.27083333333333331</v>
      </c>
      <c r="C148" s="3" t="s">
        <v>6</v>
      </c>
      <c r="D148" s="3" t="s">
        <v>17</v>
      </c>
    </row>
    <row r="149" spans="1:4" x14ac:dyDescent="0.3">
      <c r="A149" s="1">
        <f t="shared" si="10"/>
        <v>46257</v>
      </c>
      <c r="B149" s="2">
        <v>0.29166666666666669</v>
      </c>
      <c r="C149" s="3" t="s">
        <v>5</v>
      </c>
      <c r="D149" s="3" t="s">
        <v>17</v>
      </c>
    </row>
    <row r="150" spans="1:4" x14ac:dyDescent="0.3">
      <c r="A150" s="1">
        <f t="shared" si="10"/>
        <v>46257</v>
      </c>
      <c r="B150" s="2">
        <v>0.30208333333333331</v>
      </c>
      <c r="C150" s="3" t="s">
        <v>24</v>
      </c>
      <c r="D150" s="3" t="s">
        <v>18</v>
      </c>
    </row>
    <row r="151" spans="1:4" x14ac:dyDescent="0.3">
      <c r="A151" s="1">
        <f t="shared" si="10"/>
        <v>46257</v>
      </c>
      <c r="B151" s="2">
        <v>0.32291666666666669</v>
      </c>
      <c r="C151" s="3" t="s">
        <v>25</v>
      </c>
      <c r="D151" s="3" t="s">
        <v>17</v>
      </c>
    </row>
    <row r="152" spans="1:4" x14ac:dyDescent="0.3">
      <c r="A152" s="1">
        <f t="shared" si="10"/>
        <v>46257</v>
      </c>
      <c r="B152" s="2">
        <v>0.5625</v>
      </c>
      <c r="C152" s="3" t="s">
        <v>9</v>
      </c>
      <c r="D152" s="3" t="s">
        <v>17</v>
      </c>
    </row>
    <row r="153" spans="1:4" x14ac:dyDescent="0.3">
      <c r="A153" s="1">
        <f t="shared" si="10"/>
        <v>46257</v>
      </c>
      <c r="B153" s="2">
        <v>0.58333333333333337</v>
      </c>
      <c r="C153" s="3" t="s">
        <v>12</v>
      </c>
      <c r="D153" s="3" t="s">
        <v>17</v>
      </c>
    </row>
    <row r="154" spans="1:4" x14ac:dyDescent="0.3">
      <c r="A154" s="1">
        <f t="shared" si="10"/>
        <v>46257</v>
      </c>
      <c r="B154" s="2">
        <v>0.6875</v>
      </c>
      <c r="C154" s="3" t="s">
        <v>26</v>
      </c>
      <c r="D154" s="3" t="s">
        <v>18</v>
      </c>
    </row>
    <row r="155" spans="1:4" x14ac:dyDescent="0.3">
      <c r="A155" s="1">
        <f t="shared" si="10"/>
        <v>46257</v>
      </c>
      <c r="B155" s="2">
        <v>0.75</v>
      </c>
      <c r="C155" s="3" t="s">
        <v>12</v>
      </c>
      <c r="D155" s="3" t="s">
        <v>17</v>
      </c>
    </row>
    <row r="156" spans="1:4" x14ac:dyDescent="0.3">
      <c r="A156" s="1">
        <f t="shared" si="10"/>
        <v>46257</v>
      </c>
      <c r="B156" s="2">
        <v>0.77083333333333337</v>
      </c>
      <c r="C156" s="3" t="s">
        <v>14</v>
      </c>
      <c r="D156" s="3" t="s">
        <v>17</v>
      </c>
    </row>
    <row r="157" spans="1:4" x14ac:dyDescent="0.3">
      <c r="A157" s="1">
        <f t="shared" si="10"/>
        <v>46257</v>
      </c>
      <c r="B157" s="2">
        <v>0.79166666666666663</v>
      </c>
      <c r="C157" s="3" t="s">
        <v>12</v>
      </c>
      <c r="D157" s="3" t="s">
        <v>17</v>
      </c>
    </row>
    <row r="158" spans="1:4" x14ac:dyDescent="0.3">
      <c r="A158" s="1">
        <f t="shared" si="10"/>
        <v>46257</v>
      </c>
      <c r="B158" s="2">
        <v>0.85416666666666663</v>
      </c>
      <c r="C158" s="3" t="s">
        <v>15</v>
      </c>
      <c r="D158" s="3" t="s">
        <v>17</v>
      </c>
    </row>
    <row r="159" spans="1:4" x14ac:dyDescent="0.3">
      <c r="A159" s="1">
        <f t="shared" si="10"/>
        <v>46257</v>
      </c>
      <c r="B159" s="2">
        <v>0.91666666666666663</v>
      </c>
      <c r="C159" s="3" t="s">
        <v>23</v>
      </c>
      <c r="D159" s="3" t="s">
        <v>17</v>
      </c>
    </row>
    <row r="160" spans="1:4" x14ac:dyDescent="0.3">
      <c r="A160" s="1">
        <f>DATE(2026,8,24)+INT((ROW()-ROW(A160))/5)</f>
        <v>46258</v>
      </c>
      <c r="B160" s="2">
        <v>0.25</v>
      </c>
      <c r="C160" s="3" t="s">
        <v>4</v>
      </c>
      <c r="D160" s="3" t="s">
        <v>17</v>
      </c>
    </row>
    <row r="161" spans="1:4" x14ac:dyDescent="0.3">
      <c r="A161" s="1">
        <f t="shared" ref="A161:A173" si="11">DATE(2026,8,24)+INT((ROW()-ROW(A161))/5)</f>
        <v>46258</v>
      </c>
      <c r="B161" s="2">
        <v>0.27083333333333331</v>
      </c>
      <c r="C161" s="3" t="s">
        <v>6</v>
      </c>
      <c r="D161" s="3" t="s">
        <v>17</v>
      </c>
    </row>
    <row r="162" spans="1:4" x14ac:dyDescent="0.3">
      <c r="A162" s="1">
        <f t="shared" si="11"/>
        <v>46258</v>
      </c>
      <c r="B162" s="2">
        <v>0.29166666666666669</v>
      </c>
      <c r="C162" s="3" t="s">
        <v>5</v>
      </c>
      <c r="D162" s="3" t="s">
        <v>17</v>
      </c>
    </row>
    <row r="163" spans="1:4" x14ac:dyDescent="0.3">
      <c r="A163" s="1">
        <f t="shared" si="11"/>
        <v>46258</v>
      </c>
      <c r="B163" s="2">
        <v>0.30555555555555552</v>
      </c>
      <c r="C163" s="3" t="s">
        <v>7</v>
      </c>
      <c r="D163" s="3" t="s">
        <v>17</v>
      </c>
    </row>
    <row r="164" spans="1:4" x14ac:dyDescent="0.3">
      <c r="A164" s="1">
        <f t="shared" si="11"/>
        <v>46258</v>
      </c>
      <c r="B164" s="2">
        <v>0.35416666666666669</v>
      </c>
      <c r="C164" s="3" t="s">
        <v>8</v>
      </c>
      <c r="D164" s="3" t="s">
        <v>17</v>
      </c>
    </row>
    <row r="165" spans="1:4" x14ac:dyDescent="0.3">
      <c r="A165" s="1">
        <f t="shared" si="11"/>
        <v>46258</v>
      </c>
      <c r="B165" s="2">
        <v>0.48958333333333331</v>
      </c>
      <c r="C165" s="3" t="s">
        <v>10</v>
      </c>
      <c r="D165" s="3" t="s">
        <v>18</v>
      </c>
    </row>
    <row r="166" spans="1:4" x14ac:dyDescent="0.3">
      <c r="A166" s="1">
        <f t="shared" si="11"/>
        <v>46258</v>
      </c>
      <c r="B166" s="2">
        <v>0.5625</v>
      </c>
      <c r="C166" s="3" t="s">
        <v>11</v>
      </c>
      <c r="D166" s="3" t="s">
        <v>18</v>
      </c>
    </row>
    <row r="167" spans="1:4" x14ac:dyDescent="0.3">
      <c r="A167" s="1">
        <f t="shared" si="11"/>
        <v>46258</v>
      </c>
      <c r="B167" s="2">
        <v>0.58333333333333337</v>
      </c>
      <c r="C167" s="3" t="s">
        <v>9</v>
      </c>
      <c r="D167" s="3" t="s">
        <v>17</v>
      </c>
    </row>
    <row r="168" spans="1:4" x14ac:dyDescent="0.3">
      <c r="A168" s="1">
        <f t="shared" si="11"/>
        <v>46258</v>
      </c>
      <c r="B168" s="2">
        <v>0.6875</v>
      </c>
      <c r="C168" s="3" t="s">
        <v>12</v>
      </c>
      <c r="D168" s="3" t="s">
        <v>17</v>
      </c>
    </row>
    <row r="169" spans="1:4" x14ac:dyDescent="0.3">
      <c r="A169" s="1">
        <f t="shared" si="11"/>
        <v>46258</v>
      </c>
      <c r="B169" s="2">
        <v>0.75</v>
      </c>
      <c r="C169" s="3" t="s">
        <v>13</v>
      </c>
      <c r="D169" s="3" t="s">
        <v>17</v>
      </c>
    </row>
    <row r="170" spans="1:4" x14ac:dyDescent="0.3">
      <c r="A170" s="1">
        <f t="shared" si="11"/>
        <v>46258</v>
      </c>
      <c r="B170" s="2">
        <v>0.79166666666666663</v>
      </c>
      <c r="C170" s="3" t="s">
        <v>14</v>
      </c>
      <c r="D170" s="3" t="s">
        <v>17</v>
      </c>
    </row>
    <row r="171" spans="1:4" x14ac:dyDescent="0.3">
      <c r="A171" s="1">
        <f t="shared" si="11"/>
        <v>46258</v>
      </c>
      <c r="B171" s="2">
        <v>0.85416666666666663</v>
      </c>
      <c r="C171" s="3" t="s">
        <v>15</v>
      </c>
      <c r="D171" s="3" t="s">
        <v>17</v>
      </c>
    </row>
    <row r="172" spans="1:4" x14ac:dyDescent="0.3">
      <c r="A172" s="1">
        <f t="shared" si="11"/>
        <v>46258</v>
      </c>
      <c r="B172" s="2">
        <v>0.91666666666666663</v>
      </c>
      <c r="C172" s="3" t="s">
        <v>16</v>
      </c>
      <c r="D172" s="3" t="s">
        <v>17</v>
      </c>
    </row>
    <row r="173" spans="1:4" x14ac:dyDescent="0.3">
      <c r="A173" s="1">
        <f>DATE(2026,8,25)+INT((ROW()-ROW(A173))/5)</f>
        <v>46259</v>
      </c>
      <c r="B173" s="2">
        <v>0.25</v>
      </c>
      <c r="C173" s="3" t="s">
        <v>4</v>
      </c>
      <c r="D173" s="3" t="s">
        <v>17</v>
      </c>
    </row>
    <row r="174" spans="1:4" x14ac:dyDescent="0.3">
      <c r="A174" s="1">
        <f t="shared" ref="A174:A184" si="12">DATE(2026,8,25)+INT((ROW()-ROW(A174))/5)</f>
        <v>46259</v>
      </c>
      <c r="B174" s="2">
        <v>0.27083333333333331</v>
      </c>
      <c r="C174" s="3" t="s">
        <v>6</v>
      </c>
      <c r="D174" s="3" t="s">
        <v>17</v>
      </c>
    </row>
    <row r="175" spans="1:4" x14ac:dyDescent="0.3">
      <c r="A175" s="1">
        <f t="shared" si="12"/>
        <v>46259</v>
      </c>
      <c r="B175" s="2">
        <v>0.29166666666666669</v>
      </c>
      <c r="C175" s="3" t="s">
        <v>5</v>
      </c>
      <c r="D175" s="3" t="s">
        <v>17</v>
      </c>
    </row>
    <row r="176" spans="1:4" x14ac:dyDescent="0.3">
      <c r="A176" s="1">
        <f t="shared" si="12"/>
        <v>46259</v>
      </c>
      <c r="B176" s="2">
        <v>0.30555555555555552</v>
      </c>
      <c r="C176" s="3" t="s">
        <v>7</v>
      </c>
      <c r="D176" s="3" t="s">
        <v>17</v>
      </c>
    </row>
    <row r="177" spans="1:4" x14ac:dyDescent="0.3">
      <c r="A177" s="1">
        <f t="shared" si="12"/>
        <v>46259</v>
      </c>
      <c r="B177" s="2">
        <v>0.35416666666666669</v>
      </c>
      <c r="C177" s="3" t="s">
        <v>8</v>
      </c>
      <c r="D177" s="3" t="s">
        <v>17</v>
      </c>
    </row>
    <row r="178" spans="1:4" x14ac:dyDescent="0.3">
      <c r="A178" s="1">
        <f t="shared" si="12"/>
        <v>46259</v>
      </c>
      <c r="B178" s="2">
        <v>0.48958333333333331</v>
      </c>
      <c r="C178" s="3" t="s">
        <v>10</v>
      </c>
      <c r="D178" s="3" t="s">
        <v>18</v>
      </c>
    </row>
    <row r="179" spans="1:4" x14ac:dyDescent="0.3">
      <c r="A179" s="1">
        <f t="shared" si="12"/>
        <v>46259</v>
      </c>
      <c r="B179" s="2">
        <v>0.5625</v>
      </c>
      <c r="C179" s="3" t="s">
        <v>11</v>
      </c>
      <c r="D179" s="3" t="s">
        <v>18</v>
      </c>
    </row>
    <row r="180" spans="1:4" x14ac:dyDescent="0.3">
      <c r="A180" s="1">
        <f t="shared" si="12"/>
        <v>46259</v>
      </c>
      <c r="B180" s="2">
        <v>0.58333333333333337</v>
      </c>
      <c r="C180" s="3" t="s">
        <v>9</v>
      </c>
      <c r="D180" s="3" t="s">
        <v>17</v>
      </c>
    </row>
    <row r="181" spans="1:4" x14ac:dyDescent="0.3">
      <c r="A181" s="1">
        <f t="shared" si="12"/>
        <v>46259</v>
      </c>
      <c r="B181" s="2">
        <v>0.6875</v>
      </c>
      <c r="C181" s="3" t="s">
        <v>12</v>
      </c>
      <c r="D181" s="3" t="s">
        <v>17</v>
      </c>
    </row>
    <row r="182" spans="1:4" x14ac:dyDescent="0.3">
      <c r="A182" s="1">
        <f t="shared" si="12"/>
        <v>46259</v>
      </c>
      <c r="B182" s="2">
        <v>0.75</v>
      </c>
      <c r="C182" s="3" t="s">
        <v>13</v>
      </c>
      <c r="D182" s="3" t="s">
        <v>17</v>
      </c>
    </row>
    <row r="183" spans="1:4" x14ac:dyDescent="0.3">
      <c r="A183" s="1">
        <f t="shared" si="12"/>
        <v>46259</v>
      </c>
      <c r="B183" s="2">
        <v>0.79166666666666663</v>
      </c>
      <c r="C183" s="3" t="s">
        <v>14</v>
      </c>
      <c r="D183" s="3" t="s">
        <v>17</v>
      </c>
    </row>
    <row r="184" spans="1:4" x14ac:dyDescent="0.3">
      <c r="A184" s="1">
        <f t="shared" si="12"/>
        <v>46259</v>
      </c>
      <c r="B184" s="2">
        <v>0.85416666666666663</v>
      </c>
      <c r="C184" s="3" t="s">
        <v>15</v>
      </c>
      <c r="D184" s="3" t="s">
        <v>17</v>
      </c>
    </row>
    <row r="185" spans="1:4" x14ac:dyDescent="0.3">
      <c r="A185" s="1">
        <f>DATE(2026,8,25)+INT((ROW()-ROW(A185))/5)</f>
        <v>46259</v>
      </c>
      <c r="B185" s="2">
        <v>0.91666666666666663</v>
      </c>
      <c r="C185" s="3" t="s">
        <v>23</v>
      </c>
      <c r="D185" s="3" t="s">
        <v>17</v>
      </c>
    </row>
    <row r="186" spans="1:4" x14ac:dyDescent="0.3">
      <c r="A186" s="1">
        <f>DATE(2026,8,26)+INT((ROW()-ROW(A186))/5)</f>
        <v>46260</v>
      </c>
      <c r="B186" s="2">
        <v>0.25</v>
      </c>
      <c r="C186" s="3" t="s">
        <v>4</v>
      </c>
      <c r="D186" s="3" t="s">
        <v>17</v>
      </c>
    </row>
    <row r="187" spans="1:4" x14ac:dyDescent="0.3">
      <c r="A187" s="1">
        <f t="shared" ref="A187:A199" si="13">DATE(2026,8,26)+INT((ROW()-ROW(A187))/5)</f>
        <v>46260</v>
      </c>
      <c r="B187" s="2">
        <v>0.27083333333333331</v>
      </c>
      <c r="C187" s="3" t="s">
        <v>6</v>
      </c>
      <c r="D187" s="3" t="s">
        <v>17</v>
      </c>
    </row>
    <row r="188" spans="1:4" x14ac:dyDescent="0.3">
      <c r="A188" s="1">
        <f t="shared" si="13"/>
        <v>46260</v>
      </c>
      <c r="B188" s="2">
        <v>0.29166666666666669</v>
      </c>
      <c r="C188" s="3" t="s">
        <v>5</v>
      </c>
      <c r="D188" s="3" t="s">
        <v>17</v>
      </c>
    </row>
    <row r="189" spans="1:4" x14ac:dyDescent="0.3">
      <c r="A189" s="1">
        <f t="shared" si="13"/>
        <v>46260</v>
      </c>
      <c r="B189" s="2">
        <v>0.30555555555555552</v>
      </c>
      <c r="C189" s="3" t="s">
        <v>7</v>
      </c>
      <c r="D189" s="3" t="s">
        <v>17</v>
      </c>
    </row>
    <row r="190" spans="1:4" x14ac:dyDescent="0.3">
      <c r="A190" s="1">
        <f t="shared" si="13"/>
        <v>46260</v>
      </c>
      <c r="B190" s="2">
        <v>0.35416666666666669</v>
      </c>
      <c r="C190" s="3" t="s">
        <v>8</v>
      </c>
      <c r="D190" s="3" t="s">
        <v>17</v>
      </c>
    </row>
    <row r="191" spans="1:4" x14ac:dyDescent="0.3">
      <c r="A191" s="1">
        <f t="shared" si="13"/>
        <v>46260</v>
      </c>
      <c r="B191" s="2">
        <v>0.48958333333333331</v>
      </c>
      <c r="C191" s="3" t="s">
        <v>10</v>
      </c>
      <c r="D191" s="3" t="s">
        <v>18</v>
      </c>
    </row>
    <row r="192" spans="1:4" x14ac:dyDescent="0.3">
      <c r="A192" s="1">
        <f t="shared" si="13"/>
        <v>46260</v>
      </c>
      <c r="B192" s="2">
        <v>0.5625</v>
      </c>
      <c r="C192" s="3" t="s">
        <v>11</v>
      </c>
      <c r="D192" s="3" t="s">
        <v>18</v>
      </c>
    </row>
    <row r="193" spans="1:4" x14ac:dyDescent="0.3">
      <c r="A193" s="1">
        <f t="shared" si="13"/>
        <v>46260</v>
      </c>
      <c r="B193" s="2">
        <v>0.58333333333333337</v>
      </c>
      <c r="C193" s="3" t="s">
        <v>9</v>
      </c>
      <c r="D193" s="3" t="s">
        <v>17</v>
      </c>
    </row>
    <row r="194" spans="1:4" x14ac:dyDescent="0.3">
      <c r="A194" s="1">
        <f t="shared" si="13"/>
        <v>46260</v>
      </c>
      <c r="B194" s="2">
        <v>0.6875</v>
      </c>
      <c r="C194" s="3" t="s">
        <v>12</v>
      </c>
      <c r="D194" s="3" t="s">
        <v>17</v>
      </c>
    </row>
    <row r="195" spans="1:4" x14ac:dyDescent="0.3">
      <c r="A195" s="1">
        <f t="shared" si="13"/>
        <v>46260</v>
      </c>
      <c r="B195" s="2">
        <v>0.75</v>
      </c>
      <c r="C195" s="3" t="s">
        <v>13</v>
      </c>
      <c r="D195" s="3" t="s">
        <v>17</v>
      </c>
    </row>
    <row r="196" spans="1:4" x14ac:dyDescent="0.3">
      <c r="A196" s="1">
        <f t="shared" si="13"/>
        <v>46260</v>
      </c>
      <c r="B196" s="2">
        <v>0.79166666666666663</v>
      </c>
      <c r="C196" s="3" t="s">
        <v>14</v>
      </c>
      <c r="D196" s="3" t="s">
        <v>17</v>
      </c>
    </row>
    <row r="197" spans="1:4" x14ac:dyDescent="0.3">
      <c r="A197" s="1">
        <f t="shared" si="13"/>
        <v>46260</v>
      </c>
      <c r="B197" s="2">
        <v>0.85416666666666663</v>
      </c>
      <c r="C197" s="3" t="s">
        <v>15</v>
      </c>
      <c r="D197" s="3" t="s">
        <v>17</v>
      </c>
    </row>
    <row r="198" spans="1:4" x14ac:dyDescent="0.3">
      <c r="A198" s="1">
        <f t="shared" si="13"/>
        <v>46260</v>
      </c>
      <c r="B198" s="2">
        <v>0.91666666666666663</v>
      </c>
      <c r="C198" s="3" t="s">
        <v>23</v>
      </c>
      <c r="D198" s="3" t="s">
        <v>17</v>
      </c>
    </row>
    <row r="199" spans="1:4" x14ac:dyDescent="0.3">
      <c r="A199" s="1">
        <f>DATE(2026,8,27)+INT((ROW()-ROW(A199))/5)</f>
        <v>46261</v>
      </c>
      <c r="B199" s="2">
        <v>0.25</v>
      </c>
      <c r="C199" s="3" t="s">
        <v>4</v>
      </c>
      <c r="D199" s="3" t="s">
        <v>17</v>
      </c>
    </row>
    <row r="200" spans="1:4" x14ac:dyDescent="0.3">
      <c r="A200" s="1">
        <f t="shared" ref="A200:A212" si="14">DATE(2026,8,27)+INT((ROW()-ROW(A200))/5)</f>
        <v>46261</v>
      </c>
      <c r="B200" s="2">
        <v>0.27083333333333331</v>
      </c>
      <c r="C200" s="3" t="s">
        <v>6</v>
      </c>
      <c r="D200" s="3" t="s">
        <v>17</v>
      </c>
    </row>
    <row r="201" spans="1:4" x14ac:dyDescent="0.3">
      <c r="A201" s="1">
        <f t="shared" si="14"/>
        <v>46261</v>
      </c>
      <c r="B201" s="2">
        <v>0.29166666666666669</v>
      </c>
      <c r="C201" s="3" t="s">
        <v>5</v>
      </c>
      <c r="D201" s="3" t="s">
        <v>17</v>
      </c>
    </row>
    <row r="202" spans="1:4" x14ac:dyDescent="0.3">
      <c r="A202" s="1">
        <f t="shared" si="14"/>
        <v>46261</v>
      </c>
      <c r="B202" s="2">
        <v>0.30555555555555552</v>
      </c>
      <c r="C202" s="3" t="s">
        <v>7</v>
      </c>
      <c r="D202" s="3" t="s">
        <v>17</v>
      </c>
    </row>
    <row r="203" spans="1:4" x14ac:dyDescent="0.3">
      <c r="A203" s="1">
        <f t="shared" si="14"/>
        <v>46261</v>
      </c>
      <c r="B203" s="2">
        <v>0.35416666666666669</v>
      </c>
      <c r="C203" s="3" t="s">
        <v>8</v>
      </c>
      <c r="D203" s="3" t="s">
        <v>17</v>
      </c>
    </row>
    <row r="204" spans="1:4" x14ac:dyDescent="0.3">
      <c r="A204" s="1">
        <f t="shared" si="14"/>
        <v>46261</v>
      </c>
      <c r="B204" s="2">
        <v>0.48958333333333331</v>
      </c>
      <c r="C204" s="3" t="s">
        <v>10</v>
      </c>
      <c r="D204" s="3" t="s">
        <v>18</v>
      </c>
    </row>
    <row r="205" spans="1:4" x14ac:dyDescent="0.3">
      <c r="A205" s="1">
        <f t="shared" si="14"/>
        <v>46261</v>
      </c>
      <c r="B205" s="2">
        <v>0.5625</v>
      </c>
      <c r="C205" s="3" t="s">
        <v>11</v>
      </c>
      <c r="D205" s="3" t="s">
        <v>18</v>
      </c>
    </row>
    <row r="206" spans="1:4" x14ac:dyDescent="0.3">
      <c r="A206" s="1">
        <f t="shared" si="14"/>
        <v>46261</v>
      </c>
      <c r="B206" s="2">
        <v>0.58333333333333337</v>
      </c>
      <c r="C206" s="3" t="s">
        <v>9</v>
      </c>
      <c r="D206" s="3" t="s">
        <v>17</v>
      </c>
    </row>
    <row r="207" spans="1:4" x14ac:dyDescent="0.3">
      <c r="A207" s="1">
        <f t="shared" si="14"/>
        <v>46261</v>
      </c>
      <c r="B207" s="2">
        <v>0.6875</v>
      </c>
      <c r="C207" s="3" t="s">
        <v>12</v>
      </c>
      <c r="D207" s="3" t="s">
        <v>17</v>
      </c>
    </row>
    <row r="208" spans="1:4" x14ac:dyDescent="0.3">
      <c r="A208" s="1">
        <f t="shared" si="14"/>
        <v>46261</v>
      </c>
      <c r="B208" s="2">
        <v>0.75</v>
      </c>
      <c r="C208" s="3" t="s">
        <v>13</v>
      </c>
      <c r="D208" s="3" t="s">
        <v>17</v>
      </c>
    </row>
    <row r="209" spans="1:4" x14ac:dyDescent="0.3">
      <c r="A209" s="1">
        <f t="shared" si="14"/>
        <v>46261</v>
      </c>
      <c r="B209" s="2">
        <v>0.79166666666666663</v>
      </c>
      <c r="C209" s="3" t="s">
        <v>14</v>
      </c>
      <c r="D209" s="3" t="s">
        <v>17</v>
      </c>
    </row>
    <row r="210" spans="1:4" x14ac:dyDescent="0.3">
      <c r="A210" s="1">
        <f t="shared" si="14"/>
        <v>46261</v>
      </c>
      <c r="B210" s="2">
        <v>0.85416666666666663</v>
      </c>
      <c r="C210" s="3" t="s">
        <v>15</v>
      </c>
      <c r="D210" s="3" t="s">
        <v>17</v>
      </c>
    </row>
    <row r="211" spans="1:4" x14ac:dyDescent="0.3">
      <c r="A211" s="1">
        <f t="shared" si="14"/>
        <v>46261</v>
      </c>
      <c r="B211" s="2">
        <v>0.91666666666666663</v>
      </c>
      <c r="C211" s="3" t="s">
        <v>23</v>
      </c>
      <c r="D211" s="3" t="s">
        <v>17</v>
      </c>
    </row>
    <row r="212" spans="1:4" x14ac:dyDescent="0.3">
      <c r="A212" s="1">
        <f>DATE(2026,8,28)+INT((ROW()-ROW(A212))/5)</f>
        <v>46262</v>
      </c>
      <c r="B212" s="2">
        <v>0.25</v>
      </c>
      <c r="C212" s="3" t="s">
        <v>4</v>
      </c>
      <c r="D212" s="3" t="s">
        <v>17</v>
      </c>
    </row>
    <row r="213" spans="1:4" x14ac:dyDescent="0.3">
      <c r="A213" s="1">
        <f t="shared" ref="A213:A224" si="15">DATE(2026,8,28)+INT((ROW()-ROW(A213))/5)</f>
        <v>46262</v>
      </c>
      <c r="B213" s="2">
        <v>0.27083333333333331</v>
      </c>
      <c r="C213" s="3" t="s">
        <v>6</v>
      </c>
      <c r="D213" s="3" t="s">
        <v>17</v>
      </c>
    </row>
    <row r="214" spans="1:4" x14ac:dyDescent="0.3">
      <c r="A214" s="1">
        <f t="shared" si="15"/>
        <v>46262</v>
      </c>
      <c r="B214" s="2">
        <v>0.29166666666666669</v>
      </c>
      <c r="C214" s="3" t="s">
        <v>5</v>
      </c>
      <c r="D214" s="3" t="s">
        <v>17</v>
      </c>
    </row>
    <row r="215" spans="1:4" x14ac:dyDescent="0.3">
      <c r="A215" s="1">
        <f t="shared" si="15"/>
        <v>46262</v>
      </c>
      <c r="B215" s="2">
        <v>0.30555555555555552</v>
      </c>
      <c r="C215" s="3" t="s">
        <v>7</v>
      </c>
      <c r="D215" s="3" t="s">
        <v>17</v>
      </c>
    </row>
    <row r="216" spans="1:4" x14ac:dyDescent="0.3">
      <c r="A216" s="1">
        <f t="shared" si="15"/>
        <v>46262</v>
      </c>
      <c r="B216" s="2">
        <v>0.35416666666666669</v>
      </c>
      <c r="C216" s="3" t="s">
        <v>8</v>
      </c>
      <c r="D216" s="3" t="s">
        <v>17</v>
      </c>
    </row>
    <row r="217" spans="1:4" x14ac:dyDescent="0.3">
      <c r="A217" s="1">
        <f t="shared" si="15"/>
        <v>46262</v>
      </c>
      <c r="B217" s="2">
        <v>0.48958333333333331</v>
      </c>
      <c r="C217" s="3" t="s">
        <v>10</v>
      </c>
      <c r="D217" s="3" t="s">
        <v>18</v>
      </c>
    </row>
    <row r="218" spans="1:4" x14ac:dyDescent="0.3">
      <c r="A218" s="1">
        <f t="shared" si="15"/>
        <v>46262</v>
      </c>
      <c r="B218" s="2">
        <v>0.5625</v>
      </c>
      <c r="C218" s="3" t="s">
        <v>11</v>
      </c>
      <c r="D218" s="3" t="s">
        <v>18</v>
      </c>
    </row>
    <row r="219" spans="1:4" x14ac:dyDescent="0.3">
      <c r="A219" s="1">
        <f t="shared" si="15"/>
        <v>46262</v>
      </c>
      <c r="B219" s="2">
        <v>0.58333333333333337</v>
      </c>
      <c r="C219" s="3" t="s">
        <v>9</v>
      </c>
      <c r="D219" s="3" t="s">
        <v>17</v>
      </c>
    </row>
    <row r="220" spans="1:4" x14ac:dyDescent="0.3">
      <c r="A220" s="1">
        <f t="shared" si="15"/>
        <v>46262</v>
      </c>
      <c r="B220" s="2">
        <v>0.6875</v>
      </c>
      <c r="C220" s="3" t="s">
        <v>12</v>
      </c>
      <c r="D220" s="3" t="s">
        <v>17</v>
      </c>
    </row>
    <row r="221" spans="1:4" x14ac:dyDescent="0.3">
      <c r="A221" s="1">
        <f t="shared" si="15"/>
        <v>46262</v>
      </c>
      <c r="B221" s="2">
        <v>0.75</v>
      </c>
      <c r="C221" s="3" t="s">
        <v>13</v>
      </c>
      <c r="D221" s="3" t="s">
        <v>17</v>
      </c>
    </row>
    <row r="222" spans="1:4" x14ac:dyDescent="0.3">
      <c r="A222" s="1">
        <f t="shared" si="15"/>
        <v>46262</v>
      </c>
      <c r="B222" s="2">
        <v>0.79166666666666663</v>
      </c>
      <c r="C222" s="3" t="s">
        <v>14</v>
      </c>
      <c r="D222" s="3" t="s">
        <v>17</v>
      </c>
    </row>
    <row r="223" spans="1:4" x14ac:dyDescent="0.3">
      <c r="A223" s="1">
        <f t="shared" si="15"/>
        <v>46262</v>
      </c>
      <c r="B223" s="2">
        <v>0.85416666666666663</v>
      </c>
      <c r="C223" s="3" t="s">
        <v>15</v>
      </c>
      <c r="D223" s="3" t="s">
        <v>17</v>
      </c>
    </row>
    <row r="224" spans="1:4" x14ac:dyDescent="0.3">
      <c r="A224" s="1">
        <f t="shared" si="15"/>
        <v>46262</v>
      </c>
      <c r="B224" s="2">
        <v>0.91666666666666663</v>
      </c>
      <c r="C224" s="3" t="s">
        <v>23</v>
      </c>
      <c r="D224" s="3" t="s">
        <v>17</v>
      </c>
    </row>
    <row r="225" spans="1:4" x14ac:dyDescent="0.3">
      <c r="A225" s="1">
        <f>DATE(2026,8,29)+INT((ROW()-ROW(A225))/5)</f>
        <v>46263</v>
      </c>
      <c r="B225" s="2">
        <v>0.25</v>
      </c>
      <c r="C225" s="3" t="s">
        <v>4</v>
      </c>
      <c r="D225" s="3" t="s">
        <v>17</v>
      </c>
    </row>
    <row r="226" spans="1:4" x14ac:dyDescent="0.3">
      <c r="A226" s="1">
        <f t="shared" ref="A226:A239" si="16">DATE(2026,8,29)+INT((ROW()-ROW(A226))/5)</f>
        <v>46263</v>
      </c>
      <c r="B226" s="2">
        <v>0.27083333333333331</v>
      </c>
      <c r="C226" s="3" t="s">
        <v>6</v>
      </c>
      <c r="D226" s="3" t="s">
        <v>17</v>
      </c>
    </row>
    <row r="227" spans="1:4" x14ac:dyDescent="0.3">
      <c r="A227" s="1">
        <f t="shared" si="16"/>
        <v>46263</v>
      </c>
      <c r="B227" s="2">
        <v>0.29166666666666669</v>
      </c>
      <c r="C227" s="3" t="s">
        <v>5</v>
      </c>
      <c r="D227" s="3" t="s">
        <v>17</v>
      </c>
    </row>
    <row r="228" spans="1:4" x14ac:dyDescent="0.3">
      <c r="A228" s="1">
        <f t="shared" si="16"/>
        <v>46263</v>
      </c>
      <c r="B228" s="2">
        <v>0.30555555555555552</v>
      </c>
      <c r="C228" s="3" t="s">
        <v>21</v>
      </c>
      <c r="D228" s="3" t="s">
        <v>17</v>
      </c>
    </row>
    <row r="229" spans="1:4" x14ac:dyDescent="0.3">
      <c r="A229" s="1">
        <f t="shared" si="16"/>
        <v>46263</v>
      </c>
      <c r="B229" s="2">
        <v>0.34722222222222227</v>
      </c>
      <c r="C229" s="3" t="s">
        <v>22</v>
      </c>
      <c r="D229" s="3" t="s">
        <v>17</v>
      </c>
    </row>
    <row r="230" spans="1:4" x14ac:dyDescent="0.3">
      <c r="A230" s="1">
        <f t="shared" si="16"/>
        <v>46263</v>
      </c>
      <c r="B230" s="2">
        <v>0.41666666666666669</v>
      </c>
      <c r="C230" s="3" t="s">
        <v>19</v>
      </c>
      <c r="D230" s="3" t="s">
        <v>17</v>
      </c>
    </row>
    <row r="231" spans="1:4" x14ac:dyDescent="0.3">
      <c r="A231" s="1">
        <f t="shared" si="16"/>
        <v>46263</v>
      </c>
      <c r="B231" s="2">
        <v>0.5625</v>
      </c>
      <c r="C231" s="3" t="s">
        <v>9</v>
      </c>
      <c r="D231" s="3" t="s">
        <v>17</v>
      </c>
    </row>
    <row r="232" spans="1:4" x14ac:dyDescent="0.3">
      <c r="A232" s="1">
        <f t="shared" si="16"/>
        <v>46263</v>
      </c>
      <c r="B232" s="2">
        <v>0.58333333333333337</v>
      </c>
      <c r="C232" s="3" t="s">
        <v>12</v>
      </c>
      <c r="D232" s="3" t="s">
        <v>18</v>
      </c>
    </row>
    <row r="233" spans="1:4" x14ac:dyDescent="0.3">
      <c r="A233" s="1">
        <f t="shared" si="16"/>
        <v>46263</v>
      </c>
      <c r="B233" s="2">
        <v>0.6875</v>
      </c>
      <c r="C233" s="3" t="s">
        <v>13</v>
      </c>
      <c r="D233" s="3" t="s">
        <v>17</v>
      </c>
    </row>
    <row r="234" spans="1:4" x14ac:dyDescent="0.3">
      <c r="A234" s="1">
        <f t="shared" si="16"/>
        <v>46263</v>
      </c>
      <c r="B234" s="2">
        <v>0.75</v>
      </c>
      <c r="C234" s="3" t="s">
        <v>20</v>
      </c>
      <c r="D234" s="3" t="s">
        <v>17</v>
      </c>
    </row>
    <row r="235" spans="1:4" x14ac:dyDescent="0.3">
      <c r="A235" s="1">
        <f t="shared" si="16"/>
        <v>46263</v>
      </c>
      <c r="B235" s="2">
        <v>0.77083333333333337</v>
      </c>
      <c r="C235" s="3" t="s">
        <v>14</v>
      </c>
      <c r="D235" s="3" t="s">
        <v>17</v>
      </c>
    </row>
    <row r="236" spans="1:4" x14ac:dyDescent="0.3">
      <c r="A236" s="1">
        <f t="shared" si="16"/>
        <v>46263</v>
      </c>
      <c r="B236" s="2">
        <v>0.79166666666666663</v>
      </c>
      <c r="C236" s="3" t="s">
        <v>12</v>
      </c>
      <c r="D236" s="3" t="s">
        <v>17</v>
      </c>
    </row>
    <row r="237" spans="1:4" x14ac:dyDescent="0.3">
      <c r="A237" s="1">
        <f t="shared" si="16"/>
        <v>46263</v>
      </c>
      <c r="B237" s="2">
        <v>0.85416666666666663</v>
      </c>
      <c r="C237" s="3" t="s">
        <v>15</v>
      </c>
      <c r="D237" s="3" t="s">
        <v>17</v>
      </c>
    </row>
    <row r="238" spans="1:4" x14ac:dyDescent="0.3">
      <c r="A238" s="1">
        <f t="shared" si="16"/>
        <v>46263</v>
      </c>
      <c r="B238" s="2">
        <v>0.91666666666666663</v>
      </c>
      <c r="C238" s="3" t="s">
        <v>23</v>
      </c>
      <c r="D238" s="3" t="s">
        <v>17</v>
      </c>
    </row>
    <row r="239" spans="1:4" x14ac:dyDescent="0.3">
      <c r="A239" s="1">
        <f>DATE(2026,8,30)+INT((ROW()-ROW(A239))/5)</f>
        <v>46264</v>
      </c>
      <c r="B239" s="2">
        <v>0.25</v>
      </c>
      <c r="C239" s="3" t="s">
        <v>4</v>
      </c>
      <c r="D239" s="3" t="s">
        <v>17</v>
      </c>
    </row>
    <row r="240" spans="1:4" x14ac:dyDescent="0.3">
      <c r="A240" s="1">
        <f t="shared" ref="A240:A251" si="17">DATE(2026,8,30)+INT((ROW()-ROW(A240))/5)</f>
        <v>46264</v>
      </c>
      <c r="B240" s="2">
        <v>0.27083333333333331</v>
      </c>
      <c r="C240" s="3" t="s">
        <v>6</v>
      </c>
      <c r="D240" s="3" t="s">
        <v>17</v>
      </c>
    </row>
    <row r="241" spans="1:4" x14ac:dyDescent="0.3">
      <c r="A241" s="1">
        <f t="shared" si="17"/>
        <v>46264</v>
      </c>
      <c r="B241" s="2">
        <v>0.29166666666666669</v>
      </c>
      <c r="C241" s="3" t="s">
        <v>5</v>
      </c>
      <c r="D241" s="3" t="s">
        <v>17</v>
      </c>
    </row>
    <row r="242" spans="1:4" x14ac:dyDescent="0.3">
      <c r="A242" s="1">
        <f t="shared" si="17"/>
        <v>46264</v>
      </c>
      <c r="B242" s="2">
        <v>0.30208333333333331</v>
      </c>
      <c r="C242" s="3" t="s">
        <v>24</v>
      </c>
      <c r="D242" s="3" t="s">
        <v>18</v>
      </c>
    </row>
    <row r="243" spans="1:4" x14ac:dyDescent="0.3">
      <c r="A243" s="1">
        <f t="shared" si="17"/>
        <v>46264</v>
      </c>
      <c r="B243" s="2">
        <v>0.32291666666666669</v>
      </c>
      <c r="C243" s="3" t="s">
        <v>25</v>
      </c>
      <c r="D243" s="3" t="s">
        <v>17</v>
      </c>
    </row>
    <row r="244" spans="1:4" x14ac:dyDescent="0.3">
      <c r="A244" s="1">
        <f t="shared" si="17"/>
        <v>46264</v>
      </c>
      <c r="B244" s="2">
        <v>0.5625</v>
      </c>
      <c r="C244" s="3" t="s">
        <v>9</v>
      </c>
      <c r="D244" s="3" t="s">
        <v>17</v>
      </c>
    </row>
    <row r="245" spans="1:4" x14ac:dyDescent="0.3">
      <c r="A245" s="1">
        <f t="shared" si="17"/>
        <v>46264</v>
      </c>
      <c r="B245" s="2">
        <v>0.58333333333333337</v>
      </c>
      <c r="C245" s="3" t="s">
        <v>12</v>
      </c>
      <c r="D245" s="3" t="s">
        <v>17</v>
      </c>
    </row>
    <row r="246" spans="1:4" x14ac:dyDescent="0.3">
      <c r="A246" s="1">
        <f t="shared" si="17"/>
        <v>46264</v>
      </c>
      <c r="B246" s="2">
        <v>0.6875</v>
      </c>
      <c r="C246" s="3" t="s">
        <v>26</v>
      </c>
      <c r="D246" s="3" t="s">
        <v>18</v>
      </c>
    </row>
    <row r="247" spans="1:4" x14ac:dyDescent="0.3">
      <c r="A247" s="1">
        <f t="shared" si="17"/>
        <v>46264</v>
      </c>
      <c r="B247" s="2">
        <v>0.75</v>
      </c>
      <c r="C247" s="3" t="s">
        <v>12</v>
      </c>
      <c r="D247" s="3" t="s">
        <v>17</v>
      </c>
    </row>
    <row r="248" spans="1:4" x14ac:dyDescent="0.3">
      <c r="A248" s="1">
        <f t="shared" si="17"/>
        <v>46264</v>
      </c>
      <c r="B248" s="2">
        <v>0.77083333333333337</v>
      </c>
      <c r="C248" s="3" t="s">
        <v>14</v>
      </c>
      <c r="D248" s="3" t="s">
        <v>17</v>
      </c>
    </row>
    <row r="249" spans="1:4" x14ac:dyDescent="0.3">
      <c r="A249" s="1">
        <f t="shared" si="17"/>
        <v>46264</v>
      </c>
      <c r="B249" s="2">
        <v>0.79166666666666663</v>
      </c>
      <c r="C249" s="3" t="s">
        <v>12</v>
      </c>
      <c r="D249" s="3" t="s">
        <v>17</v>
      </c>
    </row>
    <row r="250" spans="1:4" x14ac:dyDescent="0.3">
      <c r="A250" s="1">
        <f t="shared" si="17"/>
        <v>46264</v>
      </c>
      <c r="B250" s="2">
        <v>0.85416666666666663</v>
      </c>
      <c r="C250" s="3" t="s">
        <v>15</v>
      </c>
      <c r="D250" s="3" t="s">
        <v>17</v>
      </c>
    </row>
    <row r="251" spans="1:4" x14ac:dyDescent="0.3">
      <c r="A251" s="1">
        <f t="shared" si="17"/>
        <v>46264</v>
      </c>
      <c r="B251" s="2">
        <v>0.91666666666666663</v>
      </c>
      <c r="C251" s="3" t="s">
        <v>23</v>
      </c>
      <c r="D251" s="3" t="s">
        <v>17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Selop Gaer</dc:creator>
  <cp:lastModifiedBy>Selop Gaer</cp:lastModifiedBy>
  <dcterms:created xsi:type="dcterms:W3CDTF">2026-08-30T23:30:07Z</dcterms:created>
  <dcterms:modified xsi:type="dcterms:W3CDTF">2026-08-31T07:16:03Z</dcterms:modified>
</cp:coreProperties>
</file>